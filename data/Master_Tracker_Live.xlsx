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Planner" sheetId="1" r:id="rId4"/>
    <sheet state="visible" name="Master Tracker" sheetId="2" r:id="rId5"/>
  </sheets>
  <definedNames>
    <definedName hidden="1" localSheetId="1" name="_xlnm._FilterDatabase">'Master Tracker'!$A$3:$M$3</definedName>
  </definedNames>
  <calcPr/>
  <extLst>
    <ext uri="GoogleSheetsCustomDataVersion2">
      <go:sheetsCustomData xmlns:go="http://customooxmlschemas.google.com/" r:id="rId6" roundtripDataChecksum="93XNtGU/TkzswKRDhWeFjosXH+fNVA0lnbkxtkmS4qk="/>
    </ext>
  </extLst>
</workbook>
</file>

<file path=xl/sharedStrings.xml><?xml version="1.0" encoding="utf-8"?>
<sst xmlns="http://schemas.openxmlformats.org/spreadsheetml/2006/main" count="883" uniqueCount="263">
  <si>
    <t>🔄  ADVANCED REVISION PLANNER  |  Spaced Repetition Method  |  R1+1D | R2+7D | R3+15D | R4+30D</t>
  </si>
  <si>
    <t>Revision = One-Page Notes + Keywords only | पूरी Book नहीं पढ़नी | Weak = Extra Cycle</t>
  </si>
  <si>
    <t>विषय</t>
  </si>
  <si>
    <t>Topic</t>
  </si>
  <si>
    <t>📅 Study Date</t>
  </si>
  <si>
    <t>R1 Date (+1D)</t>
  </si>
  <si>
    <t>R1 Done?</t>
  </si>
  <si>
    <t>R2 Date (+7D)</t>
  </si>
  <si>
    <t>R2 Done?</t>
  </si>
  <si>
    <t>R3 Date (+15D)</t>
  </si>
  <si>
    <t>R3 Done?</t>
  </si>
  <si>
    <t>R4 Date (+30D)</t>
  </si>
  <si>
    <t>R4 Done?</t>
  </si>
  <si>
    <t>Final Rev Date</t>
  </si>
  <si>
    <t>Final Done?</t>
  </si>
  <si>
    <t>Weak Points</t>
  </si>
  <si>
    <t xml:space="preserve"> राजस्थान का इतिहास</t>
  </si>
  <si>
    <t>प्रागैतिहासिक स्थल/सभ्यताएँ (पुरापाषाण-ताम्रपाषाण)</t>
  </si>
  <si>
    <t>DONE</t>
  </si>
  <si>
    <t>पुरातात्विक स्रोत</t>
  </si>
  <si>
    <t>जनपद एवं प्राचीन नाम</t>
  </si>
  <si>
    <t>प्रमुख राजवंश: गुर्जर-प्रतिहार, चौहान, मेवाड़, कछवाहा, राठौड़</t>
  </si>
  <si>
    <t>मध्यकालीन प्रशासनिक-राजस्व व्यवस्था</t>
  </si>
  <si>
    <t>ब्रिटिश आधिपत्य एवं 1857 की क्रांति</t>
  </si>
  <si>
    <t>राजनीतिक चेतना, स्वतंत्रता सेनानी</t>
  </si>
  <si>
    <t>प्रजामंडल आन्दोलन, किसान एवं जनजाति आन्दोलन</t>
  </si>
  <si>
    <t>राजनीतिक एकीकरण</t>
  </si>
  <si>
    <t xml:space="preserve"> राजस्थान की कला</t>
  </si>
  <si>
    <t>दुर्ग (किले)</t>
  </si>
  <si>
    <t>मंदिर</t>
  </si>
  <si>
    <t>मस्जिद</t>
  </si>
  <si>
    <t>महल</t>
  </si>
  <si>
    <t>छतरियाँ</t>
  </si>
  <si>
    <t>हवेलियाँ</t>
  </si>
  <si>
    <t>बावड़ियाँ</t>
  </si>
  <si>
    <t>चित्रकला (प्रमुख शैलियाँ एवं चित्रकार)</t>
  </si>
  <si>
    <t>हस्तशिल्प</t>
  </si>
  <si>
    <t xml:space="preserve"> राजस्थान की संस्कृति</t>
  </si>
  <si>
    <t>लोक संगीत/लोक गीत</t>
  </si>
  <si>
    <t>लोक वाद्य: संगीत जीवी जातियाँ</t>
  </si>
  <si>
    <t>लोक नृत्य</t>
  </si>
  <si>
    <t>लोक नाट्य</t>
  </si>
  <si>
    <t>लोक संत एवं सम्प्रदाय</t>
  </si>
  <si>
    <t>लोक देवता</t>
  </si>
  <si>
    <t>लोक देवियाँ</t>
  </si>
  <si>
    <t>मेले, महोत्सव, पशुमेले</t>
  </si>
  <si>
    <t>त्यौहार</t>
  </si>
  <si>
    <t>वेशभूषा (वस्त्र-परिधान)</t>
  </si>
  <si>
    <t>आभूषण</t>
  </si>
  <si>
    <t>अनुसूचित जाति एवं जनजाति</t>
  </si>
  <si>
    <t>सांस्कृतिक रीति-रिवाज एवं कुरीतियाँ</t>
  </si>
  <si>
    <t>लोक जीवन</t>
  </si>
  <si>
    <t xml:space="preserve"> भाषा, बोलियाँ एवं साहित्य</t>
  </si>
  <si>
    <t>राजस्थानी भाषा एवं बोलियाँ</t>
  </si>
  <si>
    <t>साहित्य का विकास</t>
  </si>
  <si>
    <t xml:space="preserve"> राजस्थान के प्रमुख व्यक्तित्व</t>
  </si>
  <si>
    <t>प्रमुख खिलाड़ी, कलाकार, लेखक</t>
  </si>
  <si>
    <t>राजस्थान: प्रतीक चिह्न, विश्व धरोहर</t>
  </si>
  <si>
    <t xml:space="preserve"> प्राचीन भारत</t>
  </si>
  <si>
    <t>सिंधु घाटी सभ्यता</t>
  </si>
  <si>
    <t>वैदिक काल</t>
  </si>
  <si>
    <t>छठी शताब्दी ई.पू. का काल (महाजनपद)</t>
  </si>
  <si>
    <t>मौर्य साम्राज्य</t>
  </si>
  <si>
    <t>मौर्योत्तर काल</t>
  </si>
  <si>
    <t>गुप्त एवं गुप्तोत्तर काल</t>
  </si>
  <si>
    <t>पूर्व मध्यकाल</t>
  </si>
  <si>
    <t>दक्षिण भारत (चालुक्य, पल्लव, चोल)</t>
  </si>
  <si>
    <t>प्राचीन भारत में कला एवं वास्तु</t>
  </si>
  <si>
    <t>प्राचीन भारत में भाषा एवं साहित्य</t>
  </si>
  <si>
    <t xml:space="preserve"> मध्यकालीन भारत</t>
  </si>
  <si>
    <t>सल्तनत काल</t>
  </si>
  <si>
    <t>क्षेत्रीय शक्तियाँ</t>
  </si>
  <si>
    <t>विजयनगर एवं बहमनी साम्राज्य</t>
  </si>
  <si>
    <t>भक्ति एवं सूफी आंदोलन</t>
  </si>
  <si>
    <t>मुगल साम्राज्य</t>
  </si>
  <si>
    <t>मराठा साम्राज्य</t>
  </si>
  <si>
    <t>मध्यकालीन साहित्य, कला एवं वास्तु</t>
  </si>
  <si>
    <t xml:space="preserve"> आधुनिक भारत</t>
  </si>
  <si>
    <t>अंग्रेज़ों द्वारा भारत विजय एवं ब्रिटिश नीतियाँ</t>
  </si>
  <si>
    <t>ब्रिटिश शासन के प्रति प्रतिक्रिया</t>
  </si>
  <si>
    <t>राष्ट्रवाद का उदय</t>
  </si>
  <si>
    <t>सामाजिक-धार्मिक सुधार आंदोलन</t>
  </si>
  <si>
    <t>ब्रिटिशकालीन प्रमुख अधिनियम एवं प्रशासक</t>
  </si>
  <si>
    <t>स्वतंत्रता संघर्ष एवं राष्ट्रीय आंदोलन</t>
  </si>
  <si>
    <t>स्वातंत्र्योत्तर भारत</t>
  </si>
  <si>
    <t>आधुनिक काल में कला एवं स्थापत्य</t>
  </si>
  <si>
    <t xml:space="preserve"> राजस्थान का भूगोल</t>
  </si>
  <si>
    <t>राजस्थान: नये संभाग-जिले, क्षेत्रफल, स्थिति</t>
  </si>
  <si>
    <t>प्राकृतिक एवं भौतिक स्वरूप</t>
  </si>
  <si>
    <t>पर्वत-पठार एवं दर्रे</t>
  </si>
  <si>
    <t>जलवायु</t>
  </si>
  <si>
    <t>मृदा एवं मृदा संरक्षण</t>
  </si>
  <si>
    <t>अपवाह तंत्र: नदियाँ</t>
  </si>
  <si>
    <t>झीलें</t>
  </si>
  <si>
    <t>बाँध</t>
  </si>
  <si>
    <t>जल संरक्षण तकनीकें</t>
  </si>
  <si>
    <t>सिंचाई परियोजनाएँ</t>
  </si>
  <si>
    <t>वन और वनस्पति</t>
  </si>
  <si>
    <t>वन्यजीव अभयारण्य</t>
  </si>
  <si>
    <t>कृषि: खाद्यान्न और वाणिज्य फसलें</t>
  </si>
  <si>
    <t>पशुधन: डेयरी, मत्स्य</t>
  </si>
  <si>
    <t>खान एवं खनिज</t>
  </si>
  <si>
    <t>उद्योग</t>
  </si>
  <si>
    <t>आर्थिक संगठन</t>
  </si>
  <si>
    <t>सहकारिता</t>
  </si>
  <si>
    <t>जनसंख्या</t>
  </si>
  <si>
    <t>शिक्षा/साक्षरता</t>
  </si>
  <si>
    <t>निर्धनता एवं बेरोजगारी</t>
  </si>
  <si>
    <t>सूखा एवं अकाल- बंजर भूमि</t>
  </si>
  <si>
    <t>ऊर्जा संसाधन</t>
  </si>
  <si>
    <t>परिवहन: सड़क, वायु, रेल</t>
  </si>
  <si>
    <t>पर्यटन</t>
  </si>
  <si>
    <t>फ्लैगशिप एवं जन कल्याणकारी योजनाएँ</t>
  </si>
  <si>
    <t xml:space="preserve"> भारत एवं विश्व का भूगोल</t>
  </si>
  <si>
    <t>भारत: भौगोलिक अवस्थिति एवं भू-आकृतिक प्रदेश</t>
  </si>
  <si>
    <t>भारत का अपवाह तंत्र</t>
  </si>
  <si>
    <t>भारत की जलवायु</t>
  </si>
  <si>
    <t>भारत की प्राकृतिक वनस्पतियाँ</t>
  </si>
  <si>
    <t>कृषि एवं कृषि आधारित गतिविधियाँ</t>
  </si>
  <si>
    <t>खनिज एवं ऊर्जा संसाधन</t>
  </si>
  <si>
    <t>भारत के प्रमुख उद्योग</t>
  </si>
  <si>
    <t>भारत में परिवहन</t>
  </si>
  <si>
    <t>जनांकिकीय व्यवस्था एवं नगरीकरण</t>
  </si>
  <si>
    <t>भूगोल: उत्पत्ति एवं विकास</t>
  </si>
  <si>
    <t>स्थलमंडल</t>
  </si>
  <si>
    <t>जलमंडल</t>
  </si>
  <si>
    <t>आर्थिक भूगोल</t>
  </si>
  <si>
    <t>पर्यावरण एवं पारिस्थितिकी</t>
  </si>
  <si>
    <t>जैव विविधता एवं वन्यजीव</t>
  </si>
  <si>
    <t>पर्यावरणीय प्रदूषण एवं संरक्षण</t>
  </si>
  <si>
    <t>जलवायु परिवर्तन</t>
  </si>
  <si>
    <t>📌 भारतीय संविधान</t>
  </si>
  <si>
    <t>संविधान निर्माण एवं प्रस्तावना</t>
  </si>
  <si>
    <t>संघ और उसका राज्यक्षेत्र</t>
  </si>
  <si>
    <t>नागरिकता</t>
  </si>
  <si>
    <t>मूल अधिकार</t>
  </si>
  <si>
    <t>राज्य के नीति-निदेशक तत्व</t>
  </si>
  <si>
    <t>मूल कर्तव्य</t>
  </si>
  <si>
    <t>संघ की कार्यपालिका</t>
  </si>
  <si>
    <t>संघीय विधायिका</t>
  </si>
  <si>
    <t>न्यायपालिका</t>
  </si>
  <si>
    <t>राज्य की कार्यपालिका</t>
  </si>
  <si>
    <t>राज्य विधायिका</t>
  </si>
  <si>
    <t>संघवाद एवं केंद्र-राज्य संबंध</t>
  </si>
  <si>
    <t>स्थानीय स्वशासन एवं पंचायती राज</t>
  </si>
  <si>
    <t>अनुसूचित एवं जनजातीय क्षेत्र</t>
  </si>
  <si>
    <t>आपातकालीन उपबंध</t>
  </si>
  <si>
    <t>संवैधानिक संशोधन</t>
  </si>
  <si>
    <t>भारत में लोकतांत्रिक राजनीति</t>
  </si>
  <si>
    <t>आयोग एवं संस्थाएँ</t>
  </si>
  <si>
    <t>लोक नीति एवं अधिकार</t>
  </si>
  <si>
    <t xml:space="preserve"> राजस्थान की राजनीतिक एवं प्रशासनिक व्यवस्था</t>
  </si>
  <si>
    <t>राज्यपाल</t>
  </si>
  <si>
    <t>मुख्यमंत्री एवं मंत्रिपरिषद</t>
  </si>
  <si>
    <t>विधानसभा-विधान परिषद</t>
  </si>
  <si>
    <t>उच्च न्यायालय</t>
  </si>
  <si>
    <t>सचिवालय एवं मुख्य सचिव</t>
  </si>
  <si>
    <t>जिला स्तरीय प्रशासन</t>
  </si>
  <si>
    <t>स्थानीय प्रशासन</t>
  </si>
  <si>
    <t>नगरीय प्रशासन</t>
  </si>
  <si>
    <t>राज्य मानवाधिकार आयोग</t>
  </si>
  <si>
    <t>राजस्थान लोक सेवा आयोग</t>
  </si>
  <si>
    <t>आयोग एवं अधिनियम (निर्वाचन, वित्त, सूचना, महिला)</t>
  </si>
  <si>
    <t>लोकायुक्त</t>
  </si>
  <si>
    <t xml:space="preserve"> राजस्थान की अर्थव्यवस्था</t>
  </si>
  <si>
    <t>राजस्थान की अर्थव्यवस्था: एक अवलोकन</t>
  </si>
  <si>
    <t>राजस्थान में आर्थिक नियोजन</t>
  </si>
  <si>
    <t>राजस्थान कृषि एवं संबद्ध क्षेत्र</t>
  </si>
  <si>
    <t>राजस्थान औद्योगिक क्षेत्र</t>
  </si>
  <si>
    <t>राजस्थान सेवा क्षेत्र</t>
  </si>
  <si>
    <t>राजस्थान आधारभूत संरचना एवं संसाधन</t>
  </si>
  <si>
    <t>राजस्थान विकास के विविध आयाम</t>
  </si>
  <si>
    <t>राजस्थान: प्रमुख योजनाएँ एवं कार्यक्रम</t>
  </si>
  <si>
    <t>राजस्थान बजट</t>
  </si>
  <si>
    <t xml:space="preserve"> भारतीय अर्थव्यवस्था</t>
  </si>
  <si>
    <t>भारतीय अर्थव्यवस्था: सामान्य परिचय</t>
  </si>
  <si>
    <t>राष्ट्रीय आय</t>
  </si>
  <si>
    <t>भारत में आर्थिक नियोजन</t>
  </si>
  <si>
    <t>समावेशी विकास, गरीबी, बेरोज़गारी तथा खाद्य सुरक्षा</t>
  </si>
  <si>
    <t>कृषि क्षेत्र तथा खाद्य प्रसंस्करण उद्योग</t>
  </si>
  <si>
    <t>उद्योग एवं सेवा क्षेत्र</t>
  </si>
  <si>
    <t>बैंकिंग, वित्तीय प्रणाली एवं मुद्रास्फीति</t>
  </si>
  <si>
    <t>राजकोषीय नीति एवं कर संरचना</t>
  </si>
  <si>
    <t>केंद्र सरकार की योजनाएँ</t>
  </si>
  <si>
    <t>भारत का वैदेशिक क्षेत्र</t>
  </si>
  <si>
    <t>अंतर्राष्ट्रीय आर्थिक संगठन, समूह एवं समझौते</t>
  </si>
  <si>
    <t xml:space="preserve"> सामान्य विज्ञान</t>
  </si>
  <si>
    <t>जीव एवं उनका वर्गीकरण</t>
  </si>
  <si>
    <t>कोशिका एवं ऊतक</t>
  </si>
  <si>
    <t>पोषण एवं स्वास्थ्य</t>
  </si>
  <si>
    <t>मानव शरीर के तंत्र</t>
  </si>
  <si>
    <t>आनुवंशिकी एवं जैव विकास</t>
  </si>
  <si>
    <t>रसायन विज्ञान की कुछ मूल अवधारणाएँ</t>
  </si>
  <si>
    <t>अणु, परमाणु और परमाणु संरचना</t>
  </si>
  <si>
    <t>रासायनिक बंधन एवं रासायनिक अभिक्रियाएँ</t>
  </si>
  <si>
    <t>अम्ल, क्षार एवं लवण</t>
  </si>
  <si>
    <t>अकार्बनिक रसायन</t>
  </si>
  <si>
    <t>कार्बन और इसके यौगिक</t>
  </si>
  <si>
    <t>सामान्य भौतिकी</t>
  </si>
  <si>
    <t>तरंगें</t>
  </si>
  <si>
    <t>प्रकाशिकी</t>
  </si>
  <si>
    <t>ऊष्मा</t>
  </si>
  <si>
    <t>विद्युत एवं चुंबकत्व</t>
  </si>
  <si>
    <t xml:space="preserve">  G</t>
  </si>
  <si>
    <t xml:space="preserve"> प्रौद्योगिकी</t>
  </si>
  <si>
    <t>जैव प्रौद्योगिकी</t>
  </si>
  <si>
    <t>नैनो प्रौद्योगिकी</t>
  </si>
  <si>
    <t>अंतरिक्ष प्रौद्योगिकी</t>
  </si>
  <si>
    <t>नवीन तकनीकों का विभिन्न क्षेत्रों में अनुप्रयोग</t>
  </si>
  <si>
    <t>रक्षा प्रौद्योगिकी</t>
  </si>
  <si>
    <t>सूचना एवं संचार प्रौद्योगिकी</t>
  </si>
  <si>
    <t>राजस्थान में विज्ञान एवं प्रौद्योगिकी विकास</t>
  </si>
  <si>
    <t>कंप्यूटर</t>
  </si>
  <si>
    <t xml:space="preserve"> तार्किक विवेचन</t>
  </si>
  <si>
    <t>विश्लेषणात्मक तर्कशक्ति</t>
  </si>
  <si>
    <t>संख्या तथा अक्षर श्रृंखला</t>
  </si>
  <si>
    <t>कोडिंग एवं डिकोडिंग</t>
  </si>
  <si>
    <t>रक्त संबंध</t>
  </si>
  <si>
    <t>दिशा परीक्षण</t>
  </si>
  <si>
    <t>तार्किक वेन आरेख</t>
  </si>
  <si>
    <t>न्याय निगमन</t>
  </si>
  <si>
    <t>दर्पण एवं जल प्रतिबिंब</t>
  </si>
  <si>
    <t>घड़ी एवं कैलेंडर</t>
  </si>
  <si>
    <t>चित्रों को गिनना</t>
  </si>
  <si>
    <t>चित्र को पूर्ण करना</t>
  </si>
  <si>
    <t>सामान्य मानसिक योग्यता</t>
  </si>
  <si>
    <t xml:space="preserve"> मानसिक योग्यता (Quantitative)</t>
  </si>
  <si>
    <t>संख्या पद्धति</t>
  </si>
  <si>
    <t>महत्तम समापवर्तक एवं लघुत्तम समापवर्त्य</t>
  </si>
  <si>
    <t>प्रतिशतता</t>
  </si>
  <si>
    <t>लाभ और हानि</t>
  </si>
  <si>
    <t>अनुपात, समानुपात और मिश्रण</t>
  </si>
  <si>
    <t>साधारण एवं चक्रवृद्धि ब्याज</t>
  </si>
  <si>
    <t>समय और कार्य</t>
  </si>
  <si>
    <t>समय, दूरी और चाल</t>
  </si>
  <si>
    <t>क्षेत्रमिति</t>
  </si>
  <si>
    <t>आँकड़ों का प्रस्तुतीकरण</t>
  </si>
  <si>
    <t>केंद्रीय प्रवृत्ति की माप</t>
  </si>
  <si>
    <t>क्रमचय एवं संचय</t>
  </si>
  <si>
    <t>प्रायिकता</t>
  </si>
  <si>
    <t xml:space="preserve"> समसामयिक घटनाएँ</t>
  </si>
  <si>
    <t>महत्वपूर्ण व्यक्तित्व, स्थान एवं प्रासंगिक समकालीन मुद्दे</t>
  </si>
  <si>
    <t>कल्याण और विकास से संबंधित नई योजनाएँ, कार्यक्रम</t>
  </si>
  <si>
    <t>प्रमुख आर्थिक और राजनीतिक घटनाक्रम</t>
  </si>
  <si>
    <t>खेल और क्रीड़ा से संबंधित महत्वपूर्ण घटनाएँ</t>
  </si>
  <si>
    <t>प्रमुख पुरस्कार, प्रकाशन एवं प्रतिष्ठित लेखक</t>
  </si>
  <si>
    <t>राजस्थान सार्वजनिक परीक्षा अधिनियम 2022</t>
  </si>
  <si>
    <t>🎯  RAS PRE MASTER STUDY TRACKER  |  राजस्थान राज्य एवं अधीनस्थ सेवाएँ (संयुक्त प्रतियोगी परीक्षा)</t>
  </si>
  <si>
    <t>Exam: 200 Marks | 150 MCQ | 3 Hours | Negative Marking: 1/3 | Paper Level: Graduate</t>
  </si>
  <si>
    <t>📝 Coaching
Notes</t>
  </si>
  <si>
    <t>📖 PYQ
Covered</t>
  </si>
  <si>
    <t>🔢 MCQ
Practiced</t>
  </si>
  <si>
    <t>R1
Revision 1</t>
  </si>
  <si>
    <t>🌟 Confidence
(1-5)</t>
  </si>
  <si>
    <t>📅 Last
Revised</t>
  </si>
  <si>
    <t>📌 Important
Topics/Notes</t>
  </si>
  <si>
    <t>🏆 Expected
% in Exam</t>
  </si>
  <si>
    <t>⚠️ Weak
Areas</t>
  </si>
  <si>
    <t>Priority</t>
  </si>
  <si>
    <t>Target Date</t>
  </si>
  <si>
    <t>Action</t>
  </si>
  <si>
    <t>Next Action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</si>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</sst>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"/>
    <numFmt numFmtId="165" formatCode="dd/MM/yyyy"/>
    <numFmt numFmtId="166" formatCode="yyyy\-mm\-dd\ h:mm:ss"/>
    <numFmt numFmtId="167" formatCode="D/M/YYYY"/>
    <numFmt numFmtId="168" formatCode="d-m-yyyy"/>
  </numFmts>
  <fonts count="20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1.0"/>
      <color rgb="FFFFFFFF"/>
      <name val="Arial"/>
    </font>
    <font>
      <b/>
      <sz val="8.0"/>
      <color rgb="FFF4B942"/>
      <name val="Arial"/>
    </font>
    <font>
      <sz val="11.0"/>
      <color rgb="FF000000"/>
      <name val="Arial"/>
    </font>
    <font>
      <sz val="11.0"/>
      <color theme="1"/>
      <name val="Calibri"/>
    </font>
    <font>
      <color theme="1"/>
      <name val="Calibri"/>
      <scheme val="minor"/>
    </font>
    <font>
      <b/>
      <sz val="8.0"/>
      <color rgb="FF0D2B57"/>
      <name val="Arial"/>
    </font>
    <font>
      <b/>
      <sz val="8.0"/>
      <color rgb="FF4472C4"/>
      <name val="Arial"/>
    </font>
    <font>
      <b/>
      <sz val="8.0"/>
      <color rgb="FF70AD47"/>
      <name val="Arial"/>
    </font>
    <font>
      <b/>
      <sz val="8.0"/>
      <color rgb="FFED7D31"/>
      <name val="Arial"/>
    </font>
    <font>
      <b/>
      <sz val="8.0"/>
      <color rgb="FFAB47BC"/>
      <name val="Arial"/>
    </font>
    <font>
      <b/>
      <sz val="8.0"/>
      <color rgb="FF2E75B6"/>
      <name val="Arial"/>
    </font>
    <font>
      <b/>
      <sz val="11.0"/>
      <color rgb="FF0D2B57"/>
      <name val="Arial"/>
    </font>
    <font>
      <b/>
      <sz val="8.0"/>
      <color rgb="FFFF7043"/>
      <name val="Arial"/>
    </font>
    <font>
      <b/>
      <sz val="8.0"/>
      <color rgb="FF9C27B0"/>
      <name val="Arial"/>
    </font>
    <font>
      <b/>
      <sz val="14.0"/>
      <color rgb="FFFFD700"/>
      <name val="Arial"/>
    </font>
    <font>
      <b/>
      <sz val="9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D2B57"/>
        <bgColor rgb="FF0D2B57"/>
      </patternFill>
    </fill>
    <fill>
      <patternFill patternType="solid">
        <fgColor rgb="FF4A1A7C"/>
        <bgColor rgb="FF4A1A7C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8EFF7"/>
        <bgColor rgb="FFE8EFF7"/>
      </patternFill>
    </fill>
    <fill>
      <patternFill patternType="solid">
        <fgColor rgb="FFFF9933"/>
        <bgColor rgb="FFFF9933"/>
      </patternFill>
    </fill>
    <fill>
      <patternFill patternType="solid">
        <fgColor rgb="FF1A3C6E"/>
        <bgColor rgb="FF1A3C6E"/>
      </patternFill>
    </fill>
  </fills>
  <borders count="14">
    <border/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7" fillId="4" fontId="5" numFmtId="0" xfId="0" applyAlignment="1" applyBorder="1" applyFill="1" applyFont="1">
      <alignment shrinkToFit="0" vertical="center" wrapText="1"/>
    </xf>
    <xf borderId="8" fillId="5" fontId="6" numFmtId="0" xfId="0" applyAlignment="1" applyBorder="1" applyFill="1" applyFont="1">
      <alignment horizontal="left" shrinkToFit="0" vertical="center" wrapText="1"/>
    </xf>
    <xf borderId="0" fillId="0" fontId="7" numFmtId="164" xfId="0" applyAlignment="1" applyFont="1" applyNumberFormat="1">
      <alignment readingOrder="0"/>
    </xf>
    <xf borderId="9" fillId="0" fontId="7" numFmtId="14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8" numFmtId="0" xfId="0" applyFont="1"/>
    <xf borderId="0" fillId="0" fontId="7" numFmtId="0" xfId="0" applyFont="1"/>
    <xf borderId="8" fillId="6" fontId="6" numFmtId="0" xfId="0" applyAlignment="1" applyBorder="1" applyFill="1" applyFont="1">
      <alignment horizontal="left" shrinkToFit="0" vertical="center" wrapText="1"/>
    </xf>
    <xf borderId="8" fillId="7" fontId="9" numFmtId="0" xfId="0" applyAlignment="1" applyBorder="1" applyFill="1" applyFont="1">
      <alignment vertical="center"/>
    </xf>
    <xf borderId="7" fillId="4" fontId="10" numFmtId="0" xfId="0" applyAlignment="1" applyBorder="1" applyFont="1">
      <alignment shrinkToFit="0" vertical="center" wrapText="1"/>
    </xf>
    <xf borderId="7" fillId="4" fontId="11" numFmtId="0" xfId="0" applyAlignment="1" applyBorder="1" applyFont="1">
      <alignment shrinkToFit="0" vertical="center" wrapText="1"/>
    </xf>
    <xf borderId="7" fillId="4" fontId="12" numFmtId="0" xfId="0" applyAlignment="1" applyBorder="1" applyFont="1">
      <alignment shrinkToFit="0" vertical="center" wrapText="1"/>
    </xf>
    <xf borderId="7" fillId="4" fontId="13" numFmtId="0" xfId="0" applyAlignment="1" applyBorder="1" applyFont="1">
      <alignment shrinkToFit="0" vertical="center" wrapText="1"/>
    </xf>
    <xf borderId="7" fillId="4" fontId="14" numFmtId="0" xfId="0" applyAlignment="1" applyBorder="1" applyFont="1">
      <alignment shrinkToFit="0" vertical="center" wrapText="1"/>
    </xf>
    <xf borderId="10" fillId="7" fontId="15" numFmtId="0" xfId="0" applyAlignment="1" applyBorder="1" applyFont="1">
      <alignment vertical="center"/>
    </xf>
    <xf borderId="7" fillId="4" fontId="16" numFmtId="0" xfId="0" applyAlignment="1" applyBorder="1" applyFont="1">
      <alignment shrinkToFit="0" vertical="center" wrapText="1"/>
    </xf>
    <xf borderId="7" fillId="4" fontId="17" numFmtId="0" xfId="0" applyAlignment="1" applyBorder="1" applyFont="1">
      <alignment shrinkToFit="0" vertical="center" wrapText="1"/>
    </xf>
    <xf borderId="11" fillId="2" fontId="18" numFmtId="0" xfId="0" applyAlignment="1" applyBorder="1" applyFont="1">
      <alignment horizontal="center" shrinkToFit="0" vertical="center" wrapText="1"/>
    </xf>
    <xf borderId="12" fillId="8" fontId="3" numFmtId="0" xfId="0" applyAlignment="1" applyBorder="1" applyFill="1" applyFont="1">
      <alignment horizontal="center" shrinkToFit="0" vertical="center" wrapText="1"/>
    </xf>
    <xf borderId="7" fillId="9" fontId="19" numFmtId="0" xfId="0" applyAlignment="1" applyBorder="1" applyFill="1" applyFont="1">
      <alignment horizontal="center" shrinkToFit="0" vertical="center" wrapText="1"/>
    </xf>
    <xf borderId="7" fillId="9" fontId="19" numFmtId="166" xfId="0" applyAlignment="1" applyBorder="1" applyFont="1" applyNumberFormat="1">
      <alignment horizontal="center" shrinkToFit="0" vertical="center" wrapText="1"/>
    </xf>
    <xf borderId="13" fillId="9" fontId="19" numFmtId="0" xfId="0" applyAlignment="1" applyBorder="1" applyFont="1">
      <alignment horizontal="center" readingOrder="0" shrinkToFit="0" vertical="center" wrapText="1"/>
    </xf>
    <xf borderId="7" fillId="9" fontId="19" numFmtId="0" xfId="0" applyAlignment="1" applyBorder="1" applyFont="1">
      <alignment horizontal="center" readingOrder="0" shrinkToFit="0" vertical="center" wrapText="1"/>
    </xf>
    <xf borderId="7" fillId="0" fontId="7" numFmtId="167" xfId="0" applyBorder="1" applyFont="1" applyNumberFormat="1"/>
    <xf borderId="7" fillId="0" fontId="7" numFmtId="0" xfId="0" applyBorder="1" applyFont="1"/>
    <xf borderId="7" fillId="0" fontId="7" numFmtId="166" xfId="0" applyBorder="1" applyFont="1" applyNumberFormat="1"/>
    <xf borderId="0" fillId="0" fontId="8" numFmtId="164" xfId="0" applyAlignment="1" applyFont="1" applyNumberFormat="1">
      <alignment readingOrder="0"/>
    </xf>
    <xf borderId="0" fillId="0" fontId="8" numFmtId="168" xfId="0" applyAlignment="1" applyFont="1" applyNumberForma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5.71"/>
    <col customWidth="1" min="2" max="2" width="31.14"/>
    <col customWidth="1" min="3" max="4" width="15.29"/>
    <col customWidth="1" min="5" max="5" width="12.0"/>
    <col customWidth="1" min="6" max="6" width="15.29"/>
    <col customWidth="1" min="7" max="7" width="12.0"/>
    <col customWidth="1" min="8" max="8" width="15.29"/>
    <col customWidth="1" min="9" max="9" width="12.0"/>
    <col customWidth="1" min="10" max="10" width="15.29"/>
    <col customWidth="1" min="11" max="11" width="12.0"/>
    <col customWidth="1" min="12" max="12" width="15.29"/>
    <col customWidth="1" min="13" max="13" width="8.71"/>
    <col customWidth="1" min="14" max="14" width="17.86"/>
    <col customWidth="1" min="15" max="26" width="8.71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ht="42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</row>
    <row r="4" ht="46.5" customHeight="1">
      <c r="A4" s="8" t="s">
        <v>16</v>
      </c>
      <c r="B4" s="9" t="s">
        <v>17</v>
      </c>
      <c r="C4" s="10">
        <f>'Master Tracker'!O4</f>
        <v>46188</v>
      </c>
      <c r="D4" s="11">
        <f t="shared" ref="D4:D214" si="1">C4+1</f>
        <v>46189</v>
      </c>
      <c r="E4" s="12" t="s">
        <v>18</v>
      </c>
      <c r="F4" s="13">
        <f t="shared" ref="F4:F214" si="2">C4+7</f>
        <v>46195</v>
      </c>
      <c r="G4" s="12" t="s">
        <v>18</v>
      </c>
      <c r="H4" s="13">
        <f t="shared" ref="H4:H214" si="3">C4+15</f>
        <v>46203</v>
      </c>
      <c r="I4" s="14"/>
      <c r="J4" s="13">
        <f t="shared" ref="J4:J214" si="4">C4+30</f>
        <v>46218</v>
      </c>
      <c r="K4" s="14"/>
      <c r="L4" s="13"/>
      <c r="M4" s="14"/>
      <c r="N4" s="15"/>
    </row>
    <row r="5" ht="46.5" customHeight="1">
      <c r="A5" s="8" t="s">
        <v>16</v>
      </c>
      <c r="B5" s="16" t="s">
        <v>19</v>
      </c>
      <c r="C5" s="10">
        <f>'Master Tracker'!O5</f>
        <v>46189</v>
      </c>
      <c r="D5" s="11">
        <f t="shared" si="1"/>
        <v>46190</v>
      </c>
      <c r="E5" s="12" t="s">
        <v>18</v>
      </c>
      <c r="F5" s="13">
        <f t="shared" si="2"/>
        <v>46196</v>
      </c>
      <c r="G5" s="12" t="s">
        <v>18</v>
      </c>
      <c r="H5" s="13">
        <f t="shared" si="3"/>
        <v>46204</v>
      </c>
      <c r="I5" s="14"/>
      <c r="J5" s="13">
        <f t="shared" si="4"/>
        <v>46219</v>
      </c>
      <c r="K5" s="14"/>
      <c r="L5" s="13"/>
      <c r="M5" s="14"/>
      <c r="N5" s="15"/>
    </row>
    <row r="6" ht="46.5" customHeight="1">
      <c r="A6" s="8" t="s">
        <v>16</v>
      </c>
      <c r="B6" s="9" t="s">
        <v>20</v>
      </c>
      <c r="C6" s="10">
        <f>'Master Tracker'!O6</f>
        <v>46197</v>
      </c>
      <c r="D6" s="11">
        <f t="shared" si="1"/>
        <v>46198</v>
      </c>
      <c r="E6" s="12" t="s">
        <v>18</v>
      </c>
      <c r="F6" s="13">
        <f t="shared" si="2"/>
        <v>46204</v>
      </c>
      <c r="G6" s="14"/>
      <c r="H6" s="13">
        <f t="shared" si="3"/>
        <v>46212</v>
      </c>
      <c r="I6" s="14"/>
      <c r="J6" s="13">
        <f t="shared" si="4"/>
        <v>46227</v>
      </c>
      <c r="K6" s="14"/>
      <c r="L6" s="13"/>
      <c r="M6" s="14"/>
      <c r="N6" s="15"/>
    </row>
    <row r="7" ht="46.5" customHeight="1">
      <c r="A7" s="8" t="s">
        <v>16</v>
      </c>
      <c r="B7" s="16" t="s">
        <v>21</v>
      </c>
      <c r="C7" s="10" t="str">
        <f>'Master Tracker'!O7</f>
        <v/>
      </c>
      <c r="D7" s="11">
        <f t="shared" si="1"/>
        <v>1</v>
      </c>
      <c r="E7" s="14"/>
      <c r="F7" s="13">
        <f t="shared" si="2"/>
        <v>7</v>
      </c>
      <c r="G7" s="14"/>
      <c r="H7" s="13">
        <f t="shared" si="3"/>
        <v>15</v>
      </c>
      <c r="I7" s="14"/>
      <c r="J7" s="13">
        <f t="shared" si="4"/>
        <v>30</v>
      </c>
      <c r="K7" s="14"/>
      <c r="L7" s="13"/>
      <c r="M7" s="14"/>
      <c r="N7" s="15"/>
    </row>
    <row r="8" ht="46.5" customHeight="1">
      <c r="A8" s="8" t="s">
        <v>16</v>
      </c>
      <c r="B8" s="9" t="s">
        <v>22</v>
      </c>
      <c r="C8" s="10" t="str">
        <f>'Master Tracker'!O8</f>
        <v/>
      </c>
      <c r="D8" s="11">
        <f t="shared" si="1"/>
        <v>1</v>
      </c>
      <c r="E8" s="14"/>
      <c r="F8" s="13">
        <f t="shared" si="2"/>
        <v>7</v>
      </c>
      <c r="G8" s="14"/>
      <c r="H8" s="13">
        <f t="shared" si="3"/>
        <v>15</v>
      </c>
      <c r="I8" s="14"/>
      <c r="J8" s="13">
        <f t="shared" si="4"/>
        <v>30</v>
      </c>
      <c r="K8" s="14"/>
      <c r="L8" s="13"/>
      <c r="M8" s="14"/>
      <c r="N8" s="15"/>
    </row>
    <row r="9" ht="46.5" customHeight="1">
      <c r="A9" s="8" t="s">
        <v>16</v>
      </c>
      <c r="B9" s="16" t="s">
        <v>23</v>
      </c>
      <c r="C9" s="10" t="str">
        <f>'Master Tracker'!O9</f>
        <v/>
      </c>
      <c r="D9" s="11">
        <f t="shared" si="1"/>
        <v>1</v>
      </c>
      <c r="E9" s="14"/>
      <c r="F9" s="13">
        <f t="shared" si="2"/>
        <v>7</v>
      </c>
      <c r="G9" s="14"/>
      <c r="H9" s="13">
        <f t="shared" si="3"/>
        <v>15</v>
      </c>
      <c r="I9" s="14"/>
      <c r="J9" s="13">
        <f t="shared" si="4"/>
        <v>30</v>
      </c>
      <c r="K9" s="14"/>
      <c r="L9" s="13"/>
      <c r="M9" s="14"/>
      <c r="N9" s="15"/>
    </row>
    <row r="10" ht="46.5" customHeight="1">
      <c r="A10" s="8" t="s">
        <v>16</v>
      </c>
      <c r="B10" s="9" t="s">
        <v>24</v>
      </c>
      <c r="C10" s="10" t="str">
        <f>'Master Tracker'!O10</f>
        <v/>
      </c>
      <c r="D10" s="11">
        <f t="shared" si="1"/>
        <v>1</v>
      </c>
      <c r="E10" s="14"/>
      <c r="F10" s="13">
        <f t="shared" si="2"/>
        <v>7</v>
      </c>
      <c r="G10" s="14"/>
      <c r="H10" s="13">
        <f t="shared" si="3"/>
        <v>15</v>
      </c>
      <c r="I10" s="14"/>
      <c r="J10" s="13">
        <f t="shared" si="4"/>
        <v>30</v>
      </c>
      <c r="K10" s="14"/>
      <c r="L10" s="13"/>
      <c r="M10" s="14"/>
      <c r="N10" s="15"/>
    </row>
    <row r="11" ht="46.5" customHeight="1">
      <c r="A11" s="8" t="s">
        <v>16</v>
      </c>
      <c r="B11" s="16" t="s">
        <v>25</v>
      </c>
      <c r="C11" s="10" t="str">
        <f>'Master Tracker'!O11</f>
        <v/>
      </c>
      <c r="D11" s="11">
        <f t="shared" si="1"/>
        <v>1</v>
      </c>
      <c r="E11" s="14"/>
      <c r="F11" s="13">
        <f t="shared" si="2"/>
        <v>7</v>
      </c>
      <c r="G11" s="14"/>
      <c r="H11" s="13">
        <f t="shared" si="3"/>
        <v>15</v>
      </c>
      <c r="I11" s="14"/>
      <c r="J11" s="13">
        <f t="shared" si="4"/>
        <v>30</v>
      </c>
      <c r="K11" s="14"/>
      <c r="L11" s="13"/>
      <c r="M11" s="14"/>
      <c r="N11" s="15"/>
    </row>
    <row r="12" ht="46.5" customHeight="1">
      <c r="A12" s="8" t="s">
        <v>16</v>
      </c>
      <c r="B12" s="9" t="s">
        <v>26</v>
      </c>
      <c r="C12" s="10" t="str">
        <f>'Master Tracker'!O12</f>
        <v/>
      </c>
      <c r="D12" s="11">
        <f t="shared" si="1"/>
        <v>1</v>
      </c>
      <c r="E12" s="14"/>
      <c r="F12" s="13">
        <f t="shared" si="2"/>
        <v>7</v>
      </c>
      <c r="G12" s="14"/>
      <c r="H12" s="13">
        <f t="shared" si="3"/>
        <v>15</v>
      </c>
      <c r="I12" s="14"/>
      <c r="J12" s="13">
        <f t="shared" si="4"/>
        <v>30</v>
      </c>
      <c r="K12" s="14"/>
      <c r="L12" s="13"/>
      <c r="M12" s="14"/>
      <c r="N12" s="15"/>
    </row>
    <row r="13" ht="46.5" customHeight="1">
      <c r="A13" s="17" t="s">
        <v>27</v>
      </c>
      <c r="B13" s="16" t="s">
        <v>28</v>
      </c>
      <c r="C13" s="10" t="str">
        <f>'Master Tracker'!O13</f>
        <v/>
      </c>
      <c r="D13" s="11">
        <f t="shared" si="1"/>
        <v>1</v>
      </c>
      <c r="E13" s="14"/>
      <c r="F13" s="13">
        <f t="shared" si="2"/>
        <v>7</v>
      </c>
      <c r="G13" s="14"/>
      <c r="H13" s="13">
        <f t="shared" si="3"/>
        <v>15</v>
      </c>
      <c r="I13" s="14"/>
      <c r="J13" s="13">
        <f t="shared" si="4"/>
        <v>30</v>
      </c>
      <c r="K13" s="14"/>
      <c r="L13" s="13"/>
      <c r="M13" s="14"/>
      <c r="N13" s="15"/>
    </row>
    <row r="14" ht="46.5" customHeight="1">
      <c r="A14" s="17" t="s">
        <v>27</v>
      </c>
      <c r="B14" s="16" t="s">
        <v>29</v>
      </c>
      <c r="C14" s="10" t="str">
        <f>'Master Tracker'!O14</f>
        <v/>
      </c>
      <c r="D14" s="11">
        <f t="shared" si="1"/>
        <v>1</v>
      </c>
      <c r="E14" s="14"/>
      <c r="F14" s="13">
        <f t="shared" si="2"/>
        <v>7</v>
      </c>
      <c r="G14" s="14"/>
      <c r="H14" s="13">
        <f t="shared" si="3"/>
        <v>15</v>
      </c>
      <c r="I14" s="14"/>
      <c r="J14" s="13">
        <f t="shared" si="4"/>
        <v>30</v>
      </c>
      <c r="K14" s="14"/>
      <c r="L14" s="13"/>
      <c r="M14" s="14"/>
      <c r="N14" s="15"/>
    </row>
    <row r="15" ht="46.5" customHeight="1">
      <c r="A15" s="17" t="s">
        <v>27</v>
      </c>
      <c r="B15" s="16" t="s">
        <v>30</v>
      </c>
      <c r="C15" s="10" t="str">
        <f>'Master Tracker'!O15</f>
        <v/>
      </c>
      <c r="D15" s="11">
        <f t="shared" si="1"/>
        <v>1</v>
      </c>
      <c r="E15" s="14"/>
      <c r="F15" s="13">
        <f t="shared" si="2"/>
        <v>7</v>
      </c>
      <c r="G15" s="14"/>
      <c r="H15" s="13">
        <f t="shared" si="3"/>
        <v>15</v>
      </c>
      <c r="I15" s="14"/>
      <c r="J15" s="13">
        <f t="shared" si="4"/>
        <v>30</v>
      </c>
      <c r="K15" s="14"/>
      <c r="L15" s="13"/>
      <c r="M15" s="14"/>
      <c r="N15" s="15"/>
    </row>
    <row r="16" ht="46.5" customHeight="1">
      <c r="A16" s="17" t="s">
        <v>27</v>
      </c>
      <c r="B16" s="16" t="s">
        <v>31</v>
      </c>
      <c r="C16" s="10" t="str">
        <f>'Master Tracker'!O16</f>
        <v/>
      </c>
      <c r="D16" s="11">
        <f t="shared" si="1"/>
        <v>1</v>
      </c>
      <c r="E16" s="14"/>
      <c r="F16" s="13">
        <f t="shared" si="2"/>
        <v>7</v>
      </c>
      <c r="G16" s="14"/>
      <c r="H16" s="13">
        <f t="shared" si="3"/>
        <v>15</v>
      </c>
      <c r="I16" s="14"/>
      <c r="J16" s="13">
        <f t="shared" si="4"/>
        <v>30</v>
      </c>
      <c r="K16" s="14"/>
      <c r="L16" s="13"/>
      <c r="M16" s="14"/>
      <c r="N16" s="15"/>
    </row>
    <row r="17" ht="46.5" customHeight="1">
      <c r="A17" s="17" t="s">
        <v>27</v>
      </c>
      <c r="B17" s="16" t="s">
        <v>32</v>
      </c>
      <c r="C17" s="10" t="str">
        <f>'Master Tracker'!O17</f>
        <v/>
      </c>
      <c r="D17" s="11">
        <f t="shared" si="1"/>
        <v>1</v>
      </c>
      <c r="E17" s="14"/>
      <c r="F17" s="13">
        <f t="shared" si="2"/>
        <v>7</v>
      </c>
      <c r="G17" s="14"/>
      <c r="H17" s="13">
        <f t="shared" si="3"/>
        <v>15</v>
      </c>
      <c r="I17" s="14"/>
      <c r="J17" s="13">
        <f t="shared" si="4"/>
        <v>30</v>
      </c>
      <c r="K17" s="14"/>
      <c r="L17" s="13"/>
      <c r="M17" s="14"/>
      <c r="N17" s="15"/>
    </row>
    <row r="18" ht="46.5" customHeight="1">
      <c r="A18" s="17" t="s">
        <v>27</v>
      </c>
      <c r="B18" s="16" t="s">
        <v>33</v>
      </c>
      <c r="C18" s="10" t="str">
        <f>'Master Tracker'!O18</f>
        <v/>
      </c>
      <c r="D18" s="11">
        <f t="shared" si="1"/>
        <v>1</v>
      </c>
      <c r="E18" s="14"/>
      <c r="F18" s="13">
        <f t="shared" si="2"/>
        <v>7</v>
      </c>
      <c r="G18" s="14"/>
      <c r="H18" s="13">
        <f t="shared" si="3"/>
        <v>15</v>
      </c>
      <c r="I18" s="14"/>
      <c r="J18" s="13">
        <f t="shared" si="4"/>
        <v>30</v>
      </c>
      <c r="K18" s="14"/>
      <c r="L18" s="13"/>
      <c r="M18" s="14"/>
      <c r="N18" s="15"/>
    </row>
    <row r="19" ht="46.5" customHeight="1">
      <c r="A19" s="17" t="s">
        <v>27</v>
      </c>
      <c r="B19" s="16" t="s">
        <v>34</v>
      </c>
      <c r="C19" s="10" t="str">
        <f>'Master Tracker'!O19</f>
        <v/>
      </c>
      <c r="D19" s="11">
        <f t="shared" si="1"/>
        <v>1</v>
      </c>
      <c r="E19" s="14"/>
      <c r="F19" s="13">
        <f t="shared" si="2"/>
        <v>7</v>
      </c>
      <c r="G19" s="14"/>
      <c r="H19" s="13">
        <f t="shared" si="3"/>
        <v>15</v>
      </c>
      <c r="I19" s="14"/>
      <c r="J19" s="13">
        <f t="shared" si="4"/>
        <v>30</v>
      </c>
      <c r="K19" s="14"/>
      <c r="L19" s="13"/>
      <c r="M19" s="14"/>
      <c r="N19" s="15"/>
    </row>
    <row r="20" ht="46.5" customHeight="1">
      <c r="A20" s="17" t="s">
        <v>27</v>
      </c>
      <c r="B20" s="16" t="s">
        <v>35</v>
      </c>
      <c r="C20" s="10" t="str">
        <f>'Master Tracker'!O20</f>
        <v/>
      </c>
      <c r="D20" s="11">
        <f t="shared" si="1"/>
        <v>1</v>
      </c>
      <c r="E20" s="14"/>
      <c r="F20" s="13">
        <f t="shared" si="2"/>
        <v>7</v>
      </c>
      <c r="G20" s="14"/>
      <c r="H20" s="13">
        <f t="shared" si="3"/>
        <v>15</v>
      </c>
      <c r="I20" s="14"/>
      <c r="J20" s="13">
        <f t="shared" si="4"/>
        <v>30</v>
      </c>
      <c r="K20" s="14"/>
      <c r="L20" s="13"/>
      <c r="M20" s="14"/>
      <c r="N20" s="15"/>
    </row>
    <row r="21" ht="46.5" customHeight="1">
      <c r="A21" s="17" t="s">
        <v>27</v>
      </c>
      <c r="B21" s="16" t="s">
        <v>36</v>
      </c>
      <c r="C21" s="10" t="str">
        <f>'Master Tracker'!O21</f>
        <v/>
      </c>
      <c r="D21" s="11">
        <f t="shared" si="1"/>
        <v>1</v>
      </c>
      <c r="E21" s="14"/>
      <c r="F21" s="13">
        <f t="shared" si="2"/>
        <v>7</v>
      </c>
      <c r="G21" s="14"/>
      <c r="H21" s="13">
        <f t="shared" si="3"/>
        <v>15</v>
      </c>
      <c r="I21" s="14"/>
      <c r="J21" s="13">
        <f t="shared" si="4"/>
        <v>30</v>
      </c>
      <c r="K21" s="14"/>
      <c r="L21" s="13"/>
      <c r="M21" s="14"/>
      <c r="N21" s="15"/>
    </row>
    <row r="22" ht="46.5" customHeight="1">
      <c r="A22" s="8" t="s">
        <v>37</v>
      </c>
      <c r="B22" s="16" t="s">
        <v>38</v>
      </c>
      <c r="C22" s="10" t="str">
        <f>'Master Tracker'!O22</f>
        <v/>
      </c>
      <c r="D22" s="11">
        <f t="shared" si="1"/>
        <v>1</v>
      </c>
      <c r="E22" s="14"/>
      <c r="F22" s="13">
        <f t="shared" si="2"/>
        <v>7</v>
      </c>
      <c r="G22" s="14"/>
      <c r="H22" s="13">
        <f t="shared" si="3"/>
        <v>15</v>
      </c>
      <c r="I22" s="14"/>
      <c r="J22" s="13">
        <f t="shared" si="4"/>
        <v>30</v>
      </c>
      <c r="K22" s="14"/>
      <c r="L22" s="13"/>
      <c r="M22" s="14"/>
      <c r="N22" s="15"/>
    </row>
    <row r="23" ht="46.5" customHeight="1">
      <c r="A23" s="8" t="s">
        <v>37</v>
      </c>
      <c r="B23" s="16" t="s">
        <v>39</v>
      </c>
      <c r="C23" s="10" t="str">
        <f>'Master Tracker'!O23</f>
        <v/>
      </c>
      <c r="D23" s="11">
        <f t="shared" si="1"/>
        <v>1</v>
      </c>
      <c r="E23" s="14"/>
      <c r="F23" s="13">
        <f t="shared" si="2"/>
        <v>7</v>
      </c>
      <c r="G23" s="14"/>
      <c r="H23" s="13">
        <f t="shared" si="3"/>
        <v>15</v>
      </c>
      <c r="I23" s="14"/>
      <c r="J23" s="13">
        <f t="shared" si="4"/>
        <v>30</v>
      </c>
      <c r="K23" s="14"/>
      <c r="L23" s="13"/>
      <c r="M23" s="14"/>
      <c r="N23" s="15"/>
    </row>
    <row r="24" ht="46.5" customHeight="1">
      <c r="A24" s="8" t="s">
        <v>37</v>
      </c>
      <c r="B24" s="16" t="s">
        <v>40</v>
      </c>
      <c r="C24" s="10" t="str">
        <f>'Master Tracker'!O24</f>
        <v/>
      </c>
      <c r="D24" s="11">
        <f t="shared" si="1"/>
        <v>1</v>
      </c>
      <c r="E24" s="14"/>
      <c r="F24" s="13">
        <f t="shared" si="2"/>
        <v>7</v>
      </c>
      <c r="G24" s="14"/>
      <c r="H24" s="13">
        <f t="shared" si="3"/>
        <v>15</v>
      </c>
      <c r="I24" s="14"/>
      <c r="J24" s="13">
        <f t="shared" si="4"/>
        <v>30</v>
      </c>
      <c r="K24" s="14"/>
      <c r="L24" s="13"/>
      <c r="M24" s="14"/>
      <c r="N24" s="15"/>
    </row>
    <row r="25" ht="46.5" customHeight="1">
      <c r="A25" s="8" t="s">
        <v>37</v>
      </c>
      <c r="B25" s="16" t="s">
        <v>41</v>
      </c>
      <c r="C25" s="10" t="str">
        <f>'Master Tracker'!O25</f>
        <v/>
      </c>
      <c r="D25" s="11">
        <f t="shared" si="1"/>
        <v>1</v>
      </c>
      <c r="E25" s="14"/>
      <c r="F25" s="13">
        <f t="shared" si="2"/>
        <v>7</v>
      </c>
      <c r="G25" s="14"/>
      <c r="H25" s="13">
        <f t="shared" si="3"/>
        <v>15</v>
      </c>
      <c r="I25" s="14"/>
      <c r="J25" s="13">
        <f t="shared" si="4"/>
        <v>30</v>
      </c>
      <c r="K25" s="14"/>
      <c r="L25" s="13"/>
      <c r="M25" s="14"/>
      <c r="N25" s="15"/>
    </row>
    <row r="26" ht="46.5" customHeight="1">
      <c r="A26" s="8" t="s">
        <v>37</v>
      </c>
      <c r="B26" s="16" t="s">
        <v>42</v>
      </c>
      <c r="C26" s="10" t="str">
        <f>'Master Tracker'!O26</f>
        <v/>
      </c>
      <c r="D26" s="11">
        <f t="shared" si="1"/>
        <v>1</v>
      </c>
      <c r="E26" s="14"/>
      <c r="F26" s="13">
        <f t="shared" si="2"/>
        <v>7</v>
      </c>
      <c r="G26" s="14"/>
      <c r="H26" s="13">
        <f t="shared" si="3"/>
        <v>15</v>
      </c>
      <c r="I26" s="14"/>
      <c r="J26" s="13">
        <f t="shared" si="4"/>
        <v>30</v>
      </c>
      <c r="K26" s="14"/>
      <c r="L26" s="13"/>
      <c r="M26" s="14"/>
      <c r="N26" s="15"/>
    </row>
    <row r="27" ht="46.5" customHeight="1">
      <c r="A27" s="8" t="s">
        <v>37</v>
      </c>
      <c r="B27" s="16" t="s">
        <v>43</v>
      </c>
      <c r="C27" s="10" t="str">
        <f>'Master Tracker'!O27</f>
        <v/>
      </c>
      <c r="D27" s="11">
        <f t="shared" si="1"/>
        <v>1</v>
      </c>
      <c r="E27" s="14"/>
      <c r="F27" s="13">
        <f t="shared" si="2"/>
        <v>7</v>
      </c>
      <c r="G27" s="14"/>
      <c r="H27" s="13">
        <f t="shared" si="3"/>
        <v>15</v>
      </c>
      <c r="I27" s="14"/>
      <c r="J27" s="13">
        <f t="shared" si="4"/>
        <v>30</v>
      </c>
      <c r="K27" s="14"/>
      <c r="L27" s="13"/>
      <c r="M27" s="14"/>
      <c r="N27" s="15"/>
    </row>
    <row r="28" ht="46.5" customHeight="1">
      <c r="A28" s="8" t="s">
        <v>37</v>
      </c>
      <c r="B28" s="16" t="s">
        <v>44</v>
      </c>
      <c r="C28" s="10" t="str">
        <f>'Master Tracker'!O28</f>
        <v/>
      </c>
      <c r="D28" s="11">
        <f t="shared" si="1"/>
        <v>1</v>
      </c>
      <c r="E28" s="14"/>
      <c r="F28" s="13">
        <f t="shared" si="2"/>
        <v>7</v>
      </c>
      <c r="G28" s="14"/>
      <c r="H28" s="13">
        <f t="shared" si="3"/>
        <v>15</v>
      </c>
      <c r="I28" s="14"/>
      <c r="J28" s="13">
        <f t="shared" si="4"/>
        <v>30</v>
      </c>
      <c r="K28" s="14"/>
      <c r="L28" s="13"/>
      <c r="M28" s="14"/>
      <c r="N28" s="15"/>
    </row>
    <row r="29" ht="46.5" customHeight="1">
      <c r="A29" s="8" t="s">
        <v>37</v>
      </c>
      <c r="B29" s="16" t="s">
        <v>45</v>
      </c>
      <c r="C29" s="10" t="str">
        <f>'Master Tracker'!O29</f>
        <v/>
      </c>
      <c r="D29" s="11">
        <f t="shared" si="1"/>
        <v>1</v>
      </c>
      <c r="E29" s="14"/>
      <c r="F29" s="13">
        <f t="shared" si="2"/>
        <v>7</v>
      </c>
      <c r="G29" s="14"/>
      <c r="H29" s="13">
        <f t="shared" si="3"/>
        <v>15</v>
      </c>
      <c r="I29" s="14"/>
      <c r="J29" s="13">
        <f t="shared" si="4"/>
        <v>30</v>
      </c>
      <c r="K29" s="14"/>
      <c r="L29" s="13"/>
      <c r="M29" s="14"/>
      <c r="N29" s="15"/>
    </row>
    <row r="30" ht="46.5" customHeight="1">
      <c r="A30" s="8" t="s">
        <v>37</v>
      </c>
      <c r="B30" s="16" t="s">
        <v>46</v>
      </c>
      <c r="C30" s="10" t="str">
        <f>'Master Tracker'!O30</f>
        <v/>
      </c>
      <c r="D30" s="11">
        <f t="shared" si="1"/>
        <v>1</v>
      </c>
      <c r="E30" s="14"/>
      <c r="F30" s="13">
        <f t="shared" si="2"/>
        <v>7</v>
      </c>
      <c r="G30" s="14"/>
      <c r="H30" s="13">
        <f t="shared" si="3"/>
        <v>15</v>
      </c>
      <c r="I30" s="14"/>
      <c r="J30" s="13">
        <f t="shared" si="4"/>
        <v>30</v>
      </c>
      <c r="K30" s="14"/>
      <c r="L30" s="13"/>
      <c r="M30" s="14"/>
      <c r="N30" s="15"/>
    </row>
    <row r="31" ht="46.5" customHeight="1">
      <c r="A31" s="8" t="s">
        <v>37</v>
      </c>
      <c r="B31" s="16" t="s">
        <v>47</v>
      </c>
      <c r="C31" s="10" t="str">
        <f>'Master Tracker'!O31</f>
        <v/>
      </c>
      <c r="D31" s="11">
        <f t="shared" si="1"/>
        <v>1</v>
      </c>
      <c r="E31" s="14"/>
      <c r="F31" s="13">
        <f t="shared" si="2"/>
        <v>7</v>
      </c>
      <c r="G31" s="14"/>
      <c r="H31" s="13">
        <f t="shared" si="3"/>
        <v>15</v>
      </c>
      <c r="I31" s="14"/>
      <c r="J31" s="13">
        <f t="shared" si="4"/>
        <v>30</v>
      </c>
      <c r="K31" s="14"/>
      <c r="L31" s="13"/>
      <c r="M31" s="14"/>
      <c r="N31" s="15"/>
    </row>
    <row r="32" ht="46.5" customHeight="1">
      <c r="A32" s="8" t="s">
        <v>37</v>
      </c>
      <c r="B32" s="16" t="s">
        <v>48</v>
      </c>
      <c r="C32" s="10" t="str">
        <f>'Master Tracker'!O32</f>
        <v/>
      </c>
      <c r="D32" s="11">
        <f t="shared" si="1"/>
        <v>1</v>
      </c>
      <c r="E32" s="14"/>
      <c r="F32" s="13">
        <f t="shared" si="2"/>
        <v>7</v>
      </c>
      <c r="G32" s="14"/>
      <c r="H32" s="13">
        <f t="shared" si="3"/>
        <v>15</v>
      </c>
      <c r="I32" s="14"/>
      <c r="J32" s="13">
        <f t="shared" si="4"/>
        <v>30</v>
      </c>
      <c r="K32" s="14"/>
      <c r="L32" s="13"/>
      <c r="M32" s="14"/>
      <c r="N32" s="15"/>
    </row>
    <row r="33" ht="46.5" customHeight="1">
      <c r="A33" s="8" t="s">
        <v>37</v>
      </c>
      <c r="B33" s="16" t="s">
        <v>49</v>
      </c>
      <c r="C33" s="10" t="str">
        <f>'Master Tracker'!O33</f>
        <v/>
      </c>
      <c r="D33" s="11">
        <f t="shared" si="1"/>
        <v>1</v>
      </c>
      <c r="E33" s="14"/>
      <c r="F33" s="13">
        <f t="shared" si="2"/>
        <v>7</v>
      </c>
      <c r="G33" s="14"/>
      <c r="H33" s="13">
        <f t="shared" si="3"/>
        <v>15</v>
      </c>
      <c r="I33" s="14"/>
      <c r="J33" s="13">
        <f t="shared" si="4"/>
        <v>30</v>
      </c>
      <c r="K33" s="14"/>
      <c r="L33" s="13"/>
      <c r="M33" s="14"/>
      <c r="N33" s="15"/>
    </row>
    <row r="34" ht="46.5" customHeight="1">
      <c r="A34" s="8" t="s">
        <v>37</v>
      </c>
      <c r="B34" s="16" t="s">
        <v>50</v>
      </c>
      <c r="C34" s="10" t="str">
        <f>'Master Tracker'!O34</f>
        <v/>
      </c>
      <c r="D34" s="11">
        <f t="shared" si="1"/>
        <v>1</v>
      </c>
      <c r="E34" s="14"/>
      <c r="F34" s="13">
        <f t="shared" si="2"/>
        <v>7</v>
      </c>
      <c r="G34" s="14"/>
      <c r="H34" s="13">
        <f t="shared" si="3"/>
        <v>15</v>
      </c>
      <c r="I34" s="14"/>
      <c r="J34" s="13">
        <f t="shared" si="4"/>
        <v>30</v>
      </c>
      <c r="K34" s="14"/>
      <c r="L34" s="13"/>
      <c r="M34" s="14"/>
      <c r="N34" s="15"/>
    </row>
    <row r="35" ht="46.5" customHeight="1">
      <c r="A35" s="8" t="s">
        <v>37</v>
      </c>
      <c r="B35" s="16" t="s">
        <v>51</v>
      </c>
      <c r="C35" s="10" t="str">
        <f>'Master Tracker'!O35</f>
        <v/>
      </c>
      <c r="D35" s="11">
        <f t="shared" si="1"/>
        <v>1</v>
      </c>
      <c r="E35" s="14"/>
      <c r="F35" s="13">
        <f t="shared" si="2"/>
        <v>7</v>
      </c>
      <c r="G35" s="14"/>
      <c r="H35" s="13">
        <f t="shared" si="3"/>
        <v>15</v>
      </c>
      <c r="I35" s="14"/>
      <c r="J35" s="13">
        <f t="shared" si="4"/>
        <v>30</v>
      </c>
      <c r="K35" s="14"/>
      <c r="L35" s="13"/>
      <c r="M35" s="14"/>
      <c r="N35" s="15"/>
    </row>
    <row r="36" ht="46.5" customHeight="1">
      <c r="A36" s="8" t="s">
        <v>52</v>
      </c>
      <c r="B36" s="16" t="s">
        <v>53</v>
      </c>
      <c r="C36" s="10" t="str">
        <f>'Master Tracker'!O36</f>
        <v/>
      </c>
      <c r="D36" s="11">
        <f t="shared" si="1"/>
        <v>1</v>
      </c>
      <c r="E36" s="14"/>
      <c r="F36" s="13">
        <f t="shared" si="2"/>
        <v>7</v>
      </c>
      <c r="G36" s="14"/>
      <c r="H36" s="13">
        <f t="shared" si="3"/>
        <v>15</v>
      </c>
      <c r="I36" s="14"/>
      <c r="J36" s="13">
        <f t="shared" si="4"/>
        <v>30</v>
      </c>
      <c r="K36" s="14"/>
      <c r="L36" s="13"/>
      <c r="M36" s="14"/>
      <c r="N36" s="15"/>
    </row>
    <row r="37" ht="46.5" customHeight="1">
      <c r="A37" s="8" t="s">
        <v>52</v>
      </c>
      <c r="B37" s="16" t="s">
        <v>54</v>
      </c>
      <c r="C37" s="10" t="str">
        <f>'Master Tracker'!O37</f>
        <v/>
      </c>
      <c r="D37" s="11">
        <f t="shared" si="1"/>
        <v>1</v>
      </c>
      <c r="E37" s="14"/>
      <c r="F37" s="13">
        <f t="shared" si="2"/>
        <v>7</v>
      </c>
      <c r="G37" s="14"/>
      <c r="H37" s="13">
        <f t="shared" si="3"/>
        <v>15</v>
      </c>
      <c r="I37" s="14"/>
      <c r="J37" s="13">
        <f t="shared" si="4"/>
        <v>30</v>
      </c>
      <c r="K37" s="14"/>
      <c r="L37" s="13"/>
      <c r="M37" s="14"/>
      <c r="N37" s="15"/>
    </row>
    <row r="38" ht="46.5" customHeight="1">
      <c r="A38" s="8" t="s">
        <v>55</v>
      </c>
      <c r="B38" s="16" t="s">
        <v>56</v>
      </c>
      <c r="C38" s="10" t="str">
        <f>'Master Tracker'!O38</f>
        <v/>
      </c>
      <c r="D38" s="11">
        <f t="shared" si="1"/>
        <v>1</v>
      </c>
      <c r="E38" s="14"/>
      <c r="F38" s="13">
        <f t="shared" si="2"/>
        <v>7</v>
      </c>
      <c r="G38" s="14"/>
      <c r="H38" s="13">
        <f t="shared" si="3"/>
        <v>15</v>
      </c>
      <c r="I38" s="14"/>
      <c r="J38" s="13">
        <f t="shared" si="4"/>
        <v>30</v>
      </c>
      <c r="K38" s="14"/>
      <c r="L38" s="13"/>
      <c r="M38" s="14"/>
      <c r="N38" s="15"/>
    </row>
    <row r="39" ht="46.5" customHeight="1">
      <c r="A39" s="8" t="s">
        <v>55</v>
      </c>
      <c r="B39" s="16" t="s">
        <v>57</v>
      </c>
      <c r="C39" s="10" t="str">
        <f>'Master Tracker'!O39</f>
        <v/>
      </c>
      <c r="D39" s="11">
        <f t="shared" si="1"/>
        <v>1</v>
      </c>
      <c r="E39" s="14"/>
      <c r="F39" s="13">
        <f t="shared" si="2"/>
        <v>7</v>
      </c>
      <c r="G39" s="14"/>
      <c r="H39" s="13">
        <f t="shared" si="3"/>
        <v>15</v>
      </c>
      <c r="I39" s="14"/>
      <c r="J39" s="13">
        <f t="shared" si="4"/>
        <v>30</v>
      </c>
      <c r="K39" s="14"/>
      <c r="L39" s="13"/>
      <c r="M39" s="14"/>
      <c r="N39" s="15"/>
    </row>
    <row r="40" ht="46.5" customHeight="1">
      <c r="A40" s="18" t="s">
        <v>58</v>
      </c>
      <c r="B40" s="16" t="s">
        <v>59</v>
      </c>
      <c r="C40" s="10" t="str">
        <f>'Master Tracker'!O40</f>
        <v/>
      </c>
      <c r="D40" s="11">
        <f t="shared" si="1"/>
        <v>1</v>
      </c>
      <c r="E40" s="14"/>
      <c r="F40" s="13">
        <f t="shared" si="2"/>
        <v>7</v>
      </c>
      <c r="G40" s="14"/>
      <c r="H40" s="13">
        <f t="shared" si="3"/>
        <v>15</v>
      </c>
      <c r="I40" s="14"/>
      <c r="J40" s="13">
        <f t="shared" si="4"/>
        <v>30</v>
      </c>
      <c r="K40" s="14"/>
      <c r="L40" s="13"/>
      <c r="M40" s="14"/>
      <c r="N40" s="15"/>
    </row>
    <row r="41" ht="46.5" customHeight="1">
      <c r="A41" s="18" t="s">
        <v>58</v>
      </c>
      <c r="B41" s="16" t="s">
        <v>60</v>
      </c>
      <c r="C41" s="10" t="str">
        <f>'Master Tracker'!O41</f>
        <v/>
      </c>
      <c r="D41" s="11">
        <f t="shared" si="1"/>
        <v>1</v>
      </c>
      <c r="E41" s="14"/>
      <c r="F41" s="13">
        <f t="shared" si="2"/>
        <v>7</v>
      </c>
      <c r="G41" s="14"/>
      <c r="H41" s="13">
        <f t="shared" si="3"/>
        <v>15</v>
      </c>
      <c r="I41" s="14"/>
      <c r="J41" s="13">
        <f t="shared" si="4"/>
        <v>30</v>
      </c>
      <c r="K41" s="14"/>
      <c r="L41" s="13"/>
      <c r="M41" s="14"/>
      <c r="N41" s="15"/>
    </row>
    <row r="42" ht="46.5" customHeight="1">
      <c r="A42" s="18" t="s">
        <v>58</v>
      </c>
      <c r="B42" s="16" t="s">
        <v>61</v>
      </c>
      <c r="C42" s="10" t="str">
        <f>'Master Tracker'!O42</f>
        <v/>
      </c>
      <c r="D42" s="11">
        <f t="shared" si="1"/>
        <v>1</v>
      </c>
      <c r="E42" s="14"/>
      <c r="F42" s="13">
        <f t="shared" si="2"/>
        <v>7</v>
      </c>
      <c r="G42" s="14"/>
      <c r="H42" s="13">
        <f t="shared" si="3"/>
        <v>15</v>
      </c>
      <c r="I42" s="14"/>
      <c r="J42" s="13">
        <f t="shared" si="4"/>
        <v>30</v>
      </c>
      <c r="K42" s="14"/>
      <c r="L42" s="13"/>
      <c r="M42" s="14"/>
      <c r="N42" s="15"/>
    </row>
    <row r="43" ht="46.5" customHeight="1">
      <c r="A43" s="18" t="s">
        <v>58</v>
      </c>
      <c r="B43" s="16" t="s">
        <v>62</v>
      </c>
      <c r="C43" s="10" t="str">
        <f>'Master Tracker'!O43</f>
        <v/>
      </c>
      <c r="D43" s="11">
        <f t="shared" si="1"/>
        <v>1</v>
      </c>
      <c r="E43" s="14"/>
      <c r="F43" s="13">
        <f t="shared" si="2"/>
        <v>7</v>
      </c>
      <c r="G43" s="14"/>
      <c r="H43" s="13">
        <f t="shared" si="3"/>
        <v>15</v>
      </c>
      <c r="I43" s="14"/>
      <c r="J43" s="13">
        <f t="shared" si="4"/>
        <v>30</v>
      </c>
      <c r="K43" s="14"/>
      <c r="L43" s="13"/>
      <c r="M43" s="14"/>
      <c r="N43" s="15"/>
    </row>
    <row r="44" ht="46.5" customHeight="1">
      <c r="A44" s="18" t="s">
        <v>58</v>
      </c>
      <c r="B44" s="16" t="s">
        <v>63</v>
      </c>
      <c r="C44" s="10" t="str">
        <f>'Master Tracker'!O44</f>
        <v/>
      </c>
      <c r="D44" s="11">
        <f t="shared" si="1"/>
        <v>1</v>
      </c>
      <c r="E44" s="14"/>
      <c r="F44" s="13">
        <f t="shared" si="2"/>
        <v>7</v>
      </c>
      <c r="G44" s="14"/>
      <c r="H44" s="13">
        <f t="shared" si="3"/>
        <v>15</v>
      </c>
      <c r="I44" s="14"/>
      <c r="J44" s="13">
        <f t="shared" si="4"/>
        <v>30</v>
      </c>
      <c r="K44" s="14"/>
      <c r="L44" s="13"/>
      <c r="M44" s="14"/>
      <c r="N44" s="15"/>
    </row>
    <row r="45" ht="46.5" customHeight="1">
      <c r="A45" s="18" t="s">
        <v>58</v>
      </c>
      <c r="B45" s="16" t="s">
        <v>64</v>
      </c>
      <c r="C45" s="10" t="str">
        <f>'Master Tracker'!O45</f>
        <v/>
      </c>
      <c r="D45" s="11">
        <f t="shared" si="1"/>
        <v>1</v>
      </c>
      <c r="E45" s="14"/>
      <c r="F45" s="13">
        <f t="shared" si="2"/>
        <v>7</v>
      </c>
      <c r="G45" s="14"/>
      <c r="H45" s="13">
        <f t="shared" si="3"/>
        <v>15</v>
      </c>
      <c r="I45" s="14"/>
      <c r="J45" s="13">
        <f t="shared" si="4"/>
        <v>30</v>
      </c>
      <c r="K45" s="14"/>
      <c r="L45" s="13"/>
      <c r="M45" s="14"/>
      <c r="N45" s="15"/>
    </row>
    <row r="46" ht="46.5" customHeight="1">
      <c r="A46" s="18" t="s">
        <v>58</v>
      </c>
      <c r="B46" s="16" t="s">
        <v>65</v>
      </c>
      <c r="C46" s="10" t="str">
        <f>'Master Tracker'!O46</f>
        <v/>
      </c>
      <c r="D46" s="11">
        <f t="shared" si="1"/>
        <v>1</v>
      </c>
      <c r="E46" s="14"/>
      <c r="F46" s="13">
        <f t="shared" si="2"/>
        <v>7</v>
      </c>
      <c r="G46" s="14"/>
      <c r="H46" s="13">
        <f t="shared" si="3"/>
        <v>15</v>
      </c>
      <c r="I46" s="14"/>
      <c r="J46" s="13">
        <f t="shared" si="4"/>
        <v>30</v>
      </c>
      <c r="K46" s="14"/>
      <c r="L46" s="13"/>
      <c r="M46" s="14"/>
      <c r="N46" s="15"/>
    </row>
    <row r="47" ht="46.5" customHeight="1">
      <c r="A47" s="18" t="s">
        <v>58</v>
      </c>
      <c r="B47" s="16" t="s">
        <v>66</v>
      </c>
      <c r="C47" s="10" t="str">
        <f>'Master Tracker'!O47</f>
        <v/>
      </c>
      <c r="D47" s="11">
        <f t="shared" si="1"/>
        <v>1</v>
      </c>
      <c r="E47" s="14"/>
      <c r="F47" s="13">
        <f t="shared" si="2"/>
        <v>7</v>
      </c>
      <c r="G47" s="14"/>
      <c r="H47" s="13">
        <f t="shared" si="3"/>
        <v>15</v>
      </c>
      <c r="I47" s="14"/>
      <c r="J47" s="13">
        <f t="shared" si="4"/>
        <v>30</v>
      </c>
      <c r="K47" s="14"/>
      <c r="L47" s="13"/>
      <c r="M47" s="14"/>
      <c r="N47" s="15"/>
    </row>
    <row r="48" ht="46.5" customHeight="1">
      <c r="A48" s="18" t="s">
        <v>58</v>
      </c>
      <c r="B48" s="16" t="s">
        <v>67</v>
      </c>
      <c r="C48" s="10" t="str">
        <f>'Master Tracker'!O48</f>
        <v/>
      </c>
      <c r="D48" s="11">
        <f t="shared" si="1"/>
        <v>1</v>
      </c>
      <c r="E48" s="14"/>
      <c r="F48" s="13">
        <f t="shared" si="2"/>
        <v>7</v>
      </c>
      <c r="G48" s="14"/>
      <c r="H48" s="13">
        <f t="shared" si="3"/>
        <v>15</v>
      </c>
      <c r="I48" s="14"/>
      <c r="J48" s="13">
        <f t="shared" si="4"/>
        <v>30</v>
      </c>
      <c r="K48" s="14"/>
      <c r="L48" s="13"/>
      <c r="M48" s="14"/>
      <c r="N48" s="15"/>
    </row>
    <row r="49" ht="46.5" customHeight="1">
      <c r="A49" s="18" t="s">
        <v>58</v>
      </c>
      <c r="B49" s="16" t="s">
        <v>68</v>
      </c>
      <c r="C49" s="10" t="str">
        <f>'Master Tracker'!O49</f>
        <v/>
      </c>
      <c r="D49" s="11">
        <f t="shared" si="1"/>
        <v>1</v>
      </c>
      <c r="E49" s="14"/>
      <c r="F49" s="13">
        <f t="shared" si="2"/>
        <v>7</v>
      </c>
      <c r="G49" s="14"/>
      <c r="H49" s="13">
        <f t="shared" si="3"/>
        <v>15</v>
      </c>
      <c r="I49" s="14"/>
      <c r="J49" s="13">
        <f t="shared" si="4"/>
        <v>30</v>
      </c>
      <c r="K49" s="14"/>
      <c r="L49" s="13"/>
      <c r="M49" s="14"/>
      <c r="N49" s="15"/>
    </row>
    <row r="50" ht="46.5" customHeight="1">
      <c r="A50" s="18" t="s">
        <v>69</v>
      </c>
      <c r="B50" s="16" t="s">
        <v>70</v>
      </c>
      <c r="C50" s="10" t="str">
        <f>'Master Tracker'!O50</f>
        <v/>
      </c>
      <c r="D50" s="11">
        <f t="shared" si="1"/>
        <v>1</v>
      </c>
      <c r="E50" s="14"/>
      <c r="F50" s="13">
        <f t="shared" si="2"/>
        <v>7</v>
      </c>
      <c r="G50" s="14"/>
      <c r="H50" s="13">
        <f t="shared" si="3"/>
        <v>15</v>
      </c>
      <c r="I50" s="14"/>
      <c r="J50" s="13">
        <f t="shared" si="4"/>
        <v>30</v>
      </c>
      <c r="K50" s="14"/>
      <c r="L50" s="13"/>
      <c r="M50" s="14"/>
      <c r="N50" s="15"/>
    </row>
    <row r="51" ht="46.5" customHeight="1">
      <c r="A51" s="18" t="s">
        <v>69</v>
      </c>
      <c r="B51" s="16" t="s">
        <v>71</v>
      </c>
      <c r="C51" s="10" t="str">
        <f>'Master Tracker'!O51</f>
        <v/>
      </c>
      <c r="D51" s="11">
        <f t="shared" si="1"/>
        <v>1</v>
      </c>
      <c r="E51" s="14"/>
      <c r="F51" s="13">
        <f t="shared" si="2"/>
        <v>7</v>
      </c>
      <c r="G51" s="14"/>
      <c r="H51" s="13">
        <f t="shared" si="3"/>
        <v>15</v>
      </c>
      <c r="I51" s="14"/>
      <c r="J51" s="13">
        <f t="shared" si="4"/>
        <v>30</v>
      </c>
      <c r="K51" s="14"/>
      <c r="L51" s="13"/>
      <c r="M51" s="14"/>
      <c r="N51" s="15"/>
    </row>
    <row r="52" ht="46.5" customHeight="1">
      <c r="A52" s="18" t="s">
        <v>69</v>
      </c>
      <c r="B52" s="16" t="s">
        <v>72</v>
      </c>
      <c r="C52" s="10" t="str">
        <f>'Master Tracker'!O52</f>
        <v/>
      </c>
      <c r="D52" s="11">
        <f t="shared" si="1"/>
        <v>1</v>
      </c>
      <c r="E52" s="14"/>
      <c r="F52" s="13">
        <f t="shared" si="2"/>
        <v>7</v>
      </c>
      <c r="G52" s="14"/>
      <c r="H52" s="13">
        <f t="shared" si="3"/>
        <v>15</v>
      </c>
      <c r="I52" s="14"/>
      <c r="J52" s="13">
        <f t="shared" si="4"/>
        <v>30</v>
      </c>
      <c r="K52" s="14"/>
      <c r="L52" s="13"/>
      <c r="M52" s="14"/>
      <c r="N52" s="15"/>
    </row>
    <row r="53" ht="46.5" customHeight="1">
      <c r="A53" s="18" t="s">
        <v>69</v>
      </c>
      <c r="B53" s="16" t="s">
        <v>73</v>
      </c>
      <c r="C53" s="10" t="str">
        <f>'Master Tracker'!O53</f>
        <v/>
      </c>
      <c r="D53" s="11">
        <f t="shared" si="1"/>
        <v>1</v>
      </c>
      <c r="E53" s="14"/>
      <c r="F53" s="13">
        <f t="shared" si="2"/>
        <v>7</v>
      </c>
      <c r="G53" s="14"/>
      <c r="H53" s="13">
        <f t="shared" si="3"/>
        <v>15</v>
      </c>
      <c r="I53" s="14"/>
      <c r="J53" s="13">
        <f t="shared" si="4"/>
        <v>30</v>
      </c>
      <c r="K53" s="14"/>
      <c r="L53" s="13"/>
      <c r="M53" s="14"/>
      <c r="N53" s="15"/>
    </row>
    <row r="54" ht="46.5" customHeight="1">
      <c r="A54" s="18" t="s">
        <v>69</v>
      </c>
      <c r="B54" s="16" t="s">
        <v>74</v>
      </c>
      <c r="C54" s="10" t="str">
        <f>'Master Tracker'!O54</f>
        <v/>
      </c>
      <c r="D54" s="11">
        <f t="shared" si="1"/>
        <v>1</v>
      </c>
      <c r="E54" s="14"/>
      <c r="F54" s="13">
        <f t="shared" si="2"/>
        <v>7</v>
      </c>
      <c r="G54" s="14"/>
      <c r="H54" s="13">
        <f t="shared" si="3"/>
        <v>15</v>
      </c>
      <c r="I54" s="14"/>
      <c r="J54" s="13">
        <f t="shared" si="4"/>
        <v>30</v>
      </c>
      <c r="K54" s="14"/>
      <c r="L54" s="13"/>
      <c r="M54" s="14"/>
      <c r="N54" s="15"/>
    </row>
    <row r="55" ht="46.5" customHeight="1">
      <c r="A55" s="18" t="s">
        <v>69</v>
      </c>
      <c r="B55" s="16" t="s">
        <v>75</v>
      </c>
      <c r="C55" s="10" t="str">
        <f>'Master Tracker'!O55</f>
        <v/>
      </c>
      <c r="D55" s="11">
        <f t="shared" si="1"/>
        <v>1</v>
      </c>
      <c r="E55" s="14"/>
      <c r="F55" s="13">
        <f t="shared" si="2"/>
        <v>7</v>
      </c>
      <c r="G55" s="14"/>
      <c r="H55" s="13">
        <f t="shared" si="3"/>
        <v>15</v>
      </c>
      <c r="I55" s="14"/>
      <c r="J55" s="13">
        <f t="shared" si="4"/>
        <v>30</v>
      </c>
      <c r="K55" s="14"/>
      <c r="L55" s="13"/>
      <c r="M55" s="14"/>
      <c r="N55" s="15"/>
    </row>
    <row r="56" ht="46.5" customHeight="1">
      <c r="A56" s="18" t="s">
        <v>69</v>
      </c>
      <c r="B56" s="16" t="s">
        <v>76</v>
      </c>
      <c r="C56" s="10" t="str">
        <f>'Master Tracker'!O56</f>
        <v/>
      </c>
      <c r="D56" s="11">
        <f t="shared" si="1"/>
        <v>1</v>
      </c>
      <c r="E56" s="14"/>
      <c r="F56" s="13">
        <f t="shared" si="2"/>
        <v>7</v>
      </c>
      <c r="G56" s="14"/>
      <c r="H56" s="13">
        <f t="shared" si="3"/>
        <v>15</v>
      </c>
      <c r="I56" s="14"/>
      <c r="J56" s="13">
        <f t="shared" si="4"/>
        <v>30</v>
      </c>
      <c r="K56" s="14"/>
      <c r="L56" s="13"/>
      <c r="M56" s="14"/>
      <c r="N56" s="15"/>
    </row>
    <row r="57" ht="46.5" customHeight="1">
      <c r="A57" s="18" t="s">
        <v>77</v>
      </c>
      <c r="B57" s="16" t="s">
        <v>78</v>
      </c>
      <c r="C57" s="10" t="str">
        <f>'Master Tracker'!O57</f>
        <v/>
      </c>
      <c r="D57" s="11">
        <f t="shared" si="1"/>
        <v>1</v>
      </c>
      <c r="E57" s="14"/>
      <c r="F57" s="13">
        <f t="shared" si="2"/>
        <v>7</v>
      </c>
      <c r="G57" s="14"/>
      <c r="H57" s="13">
        <f t="shared" si="3"/>
        <v>15</v>
      </c>
      <c r="I57" s="14"/>
      <c r="J57" s="13">
        <f t="shared" si="4"/>
        <v>30</v>
      </c>
      <c r="K57" s="14"/>
      <c r="L57" s="13"/>
      <c r="M57" s="14"/>
      <c r="N57" s="15"/>
    </row>
    <row r="58" ht="46.5" customHeight="1">
      <c r="A58" s="18" t="s">
        <v>77</v>
      </c>
      <c r="B58" s="16" t="s">
        <v>79</v>
      </c>
      <c r="C58" s="10" t="str">
        <f>'Master Tracker'!O58</f>
        <v/>
      </c>
      <c r="D58" s="11">
        <f t="shared" si="1"/>
        <v>1</v>
      </c>
      <c r="E58" s="14"/>
      <c r="F58" s="13">
        <f t="shared" si="2"/>
        <v>7</v>
      </c>
      <c r="G58" s="14"/>
      <c r="H58" s="13">
        <f t="shared" si="3"/>
        <v>15</v>
      </c>
      <c r="I58" s="14"/>
      <c r="J58" s="13">
        <f t="shared" si="4"/>
        <v>30</v>
      </c>
      <c r="K58" s="14"/>
      <c r="L58" s="13"/>
      <c r="M58" s="14"/>
      <c r="N58" s="15"/>
    </row>
    <row r="59" ht="46.5" customHeight="1">
      <c r="A59" s="18" t="s">
        <v>77</v>
      </c>
      <c r="B59" s="16" t="s">
        <v>80</v>
      </c>
      <c r="C59" s="10" t="str">
        <f>'Master Tracker'!O59</f>
        <v/>
      </c>
      <c r="D59" s="11">
        <f t="shared" si="1"/>
        <v>1</v>
      </c>
      <c r="E59" s="14"/>
      <c r="F59" s="13">
        <f t="shared" si="2"/>
        <v>7</v>
      </c>
      <c r="G59" s="14"/>
      <c r="H59" s="13">
        <f t="shared" si="3"/>
        <v>15</v>
      </c>
      <c r="I59" s="14"/>
      <c r="J59" s="13">
        <f t="shared" si="4"/>
        <v>30</v>
      </c>
      <c r="K59" s="14"/>
      <c r="L59" s="13"/>
      <c r="M59" s="14"/>
      <c r="N59" s="15"/>
    </row>
    <row r="60" ht="46.5" customHeight="1">
      <c r="A60" s="18" t="s">
        <v>77</v>
      </c>
      <c r="B60" s="16" t="s">
        <v>81</v>
      </c>
      <c r="C60" s="10" t="str">
        <f>'Master Tracker'!O60</f>
        <v/>
      </c>
      <c r="D60" s="11">
        <f t="shared" si="1"/>
        <v>1</v>
      </c>
      <c r="E60" s="14"/>
      <c r="F60" s="13">
        <f t="shared" si="2"/>
        <v>7</v>
      </c>
      <c r="G60" s="14"/>
      <c r="H60" s="13">
        <f t="shared" si="3"/>
        <v>15</v>
      </c>
      <c r="I60" s="14"/>
      <c r="J60" s="13">
        <f t="shared" si="4"/>
        <v>30</v>
      </c>
      <c r="K60" s="14"/>
      <c r="L60" s="13"/>
      <c r="M60" s="14"/>
      <c r="N60" s="15"/>
    </row>
    <row r="61" ht="46.5" customHeight="1">
      <c r="A61" s="18" t="s">
        <v>77</v>
      </c>
      <c r="B61" s="16" t="s">
        <v>82</v>
      </c>
      <c r="C61" s="10" t="str">
        <f>'Master Tracker'!O61</f>
        <v/>
      </c>
      <c r="D61" s="11">
        <f t="shared" si="1"/>
        <v>1</v>
      </c>
      <c r="E61" s="14"/>
      <c r="F61" s="13">
        <f t="shared" si="2"/>
        <v>7</v>
      </c>
      <c r="G61" s="14"/>
      <c r="H61" s="13">
        <f t="shared" si="3"/>
        <v>15</v>
      </c>
      <c r="I61" s="14"/>
      <c r="J61" s="13">
        <f t="shared" si="4"/>
        <v>30</v>
      </c>
      <c r="K61" s="14"/>
      <c r="L61" s="13"/>
      <c r="M61" s="14"/>
      <c r="N61" s="15"/>
    </row>
    <row r="62" ht="46.5" customHeight="1">
      <c r="A62" s="18" t="s">
        <v>77</v>
      </c>
      <c r="B62" s="16" t="s">
        <v>83</v>
      </c>
      <c r="C62" s="10" t="str">
        <f>'Master Tracker'!O62</f>
        <v/>
      </c>
      <c r="D62" s="11">
        <f t="shared" si="1"/>
        <v>1</v>
      </c>
      <c r="E62" s="14"/>
      <c r="F62" s="13">
        <f t="shared" si="2"/>
        <v>7</v>
      </c>
      <c r="G62" s="14"/>
      <c r="H62" s="13">
        <f t="shared" si="3"/>
        <v>15</v>
      </c>
      <c r="I62" s="14"/>
      <c r="J62" s="13">
        <f t="shared" si="4"/>
        <v>30</v>
      </c>
      <c r="K62" s="14"/>
      <c r="L62" s="13"/>
      <c r="M62" s="14"/>
      <c r="N62" s="15"/>
    </row>
    <row r="63" ht="46.5" customHeight="1">
      <c r="A63" s="18" t="s">
        <v>77</v>
      </c>
      <c r="B63" s="16" t="s">
        <v>84</v>
      </c>
      <c r="C63" s="10" t="str">
        <f>'Master Tracker'!O63</f>
        <v/>
      </c>
      <c r="D63" s="11">
        <f t="shared" si="1"/>
        <v>1</v>
      </c>
      <c r="E63" s="14"/>
      <c r="F63" s="13">
        <f t="shared" si="2"/>
        <v>7</v>
      </c>
      <c r="G63" s="14"/>
      <c r="H63" s="13">
        <f t="shared" si="3"/>
        <v>15</v>
      </c>
      <c r="I63" s="14"/>
      <c r="J63" s="13">
        <f t="shared" si="4"/>
        <v>30</v>
      </c>
      <c r="K63" s="14"/>
      <c r="L63" s="13"/>
      <c r="M63" s="14"/>
      <c r="N63" s="15"/>
    </row>
    <row r="64" ht="46.5" customHeight="1">
      <c r="A64" s="18" t="s">
        <v>77</v>
      </c>
      <c r="B64" s="16" t="s">
        <v>85</v>
      </c>
      <c r="C64" s="10" t="str">
        <f>'Master Tracker'!O64</f>
        <v/>
      </c>
      <c r="D64" s="11">
        <f t="shared" si="1"/>
        <v>1</v>
      </c>
      <c r="E64" s="14"/>
      <c r="F64" s="13">
        <f t="shared" si="2"/>
        <v>7</v>
      </c>
      <c r="G64" s="14"/>
      <c r="H64" s="13">
        <f t="shared" si="3"/>
        <v>15</v>
      </c>
      <c r="I64" s="14"/>
      <c r="J64" s="13">
        <f t="shared" si="4"/>
        <v>30</v>
      </c>
      <c r="K64" s="14"/>
      <c r="L64" s="13"/>
      <c r="M64" s="14"/>
      <c r="N64" s="15"/>
    </row>
    <row r="65" ht="46.5" customHeight="1">
      <c r="A65" s="19" t="s">
        <v>86</v>
      </c>
      <c r="B65" s="16" t="s">
        <v>87</v>
      </c>
      <c r="C65" s="10" t="str">
        <f>'Master Tracker'!O65</f>
        <v/>
      </c>
      <c r="D65" s="11">
        <f t="shared" si="1"/>
        <v>1</v>
      </c>
      <c r="E65" s="14"/>
      <c r="F65" s="13">
        <f t="shared" si="2"/>
        <v>7</v>
      </c>
      <c r="G65" s="14"/>
      <c r="H65" s="13">
        <f t="shared" si="3"/>
        <v>15</v>
      </c>
      <c r="I65" s="14"/>
      <c r="J65" s="13">
        <f t="shared" si="4"/>
        <v>30</v>
      </c>
      <c r="K65" s="14"/>
      <c r="L65" s="13"/>
      <c r="M65" s="14"/>
      <c r="N65" s="15"/>
    </row>
    <row r="66" ht="46.5" customHeight="1">
      <c r="A66" s="19" t="s">
        <v>86</v>
      </c>
      <c r="B66" s="16" t="s">
        <v>88</v>
      </c>
      <c r="C66" s="10" t="str">
        <f>'Master Tracker'!O66</f>
        <v/>
      </c>
      <c r="D66" s="11">
        <f t="shared" si="1"/>
        <v>1</v>
      </c>
      <c r="E66" s="14"/>
      <c r="F66" s="13">
        <f t="shared" si="2"/>
        <v>7</v>
      </c>
      <c r="G66" s="14"/>
      <c r="H66" s="13">
        <f t="shared" si="3"/>
        <v>15</v>
      </c>
      <c r="I66" s="14"/>
      <c r="J66" s="13">
        <f t="shared" si="4"/>
        <v>30</v>
      </c>
      <c r="K66" s="14"/>
      <c r="L66" s="13"/>
      <c r="M66" s="14"/>
      <c r="N66" s="15"/>
    </row>
    <row r="67" ht="46.5" customHeight="1">
      <c r="A67" s="19" t="s">
        <v>86</v>
      </c>
      <c r="B67" s="16" t="s">
        <v>89</v>
      </c>
      <c r="C67" s="10" t="str">
        <f>'Master Tracker'!O67</f>
        <v/>
      </c>
      <c r="D67" s="11">
        <f t="shared" si="1"/>
        <v>1</v>
      </c>
      <c r="E67" s="14"/>
      <c r="F67" s="13">
        <f t="shared" si="2"/>
        <v>7</v>
      </c>
      <c r="G67" s="14"/>
      <c r="H67" s="13">
        <f t="shared" si="3"/>
        <v>15</v>
      </c>
      <c r="I67" s="14"/>
      <c r="J67" s="13">
        <f t="shared" si="4"/>
        <v>30</v>
      </c>
      <c r="K67" s="14"/>
      <c r="L67" s="13"/>
      <c r="M67" s="14"/>
      <c r="N67" s="15"/>
    </row>
    <row r="68" ht="46.5" customHeight="1">
      <c r="A68" s="19" t="s">
        <v>86</v>
      </c>
      <c r="B68" s="16" t="s">
        <v>90</v>
      </c>
      <c r="C68" s="10" t="str">
        <f>'Master Tracker'!O68</f>
        <v/>
      </c>
      <c r="D68" s="11">
        <f t="shared" si="1"/>
        <v>1</v>
      </c>
      <c r="E68" s="14"/>
      <c r="F68" s="13">
        <f t="shared" si="2"/>
        <v>7</v>
      </c>
      <c r="G68" s="14"/>
      <c r="H68" s="13">
        <f t="shared" si="3"/>
        <v>15</v>
      </c>
      <c r="I68" s="14"/>
      <c r="J68" s="13">
        <f t="shared" si="4"/>
        <v>30</v>
      </c>
      <c r="K68" s="14"/>
      <c r="L68" s="13"/>
      <c r="M68" s="14"/>
      <c r="N68" s="15"/>
    </row>
    <row r="69" ht="46.5" customHeight="1">
      <c r="A69" s="19" t="s">
        <v>86</v>
      </c>
      <c r="B69" s="16" t="s">
        <v>91</v>
      </c>
      <c r="C69" s="10" t="str">
        <f>'Master Tracker'!O69</f>
        <v/>
      </c>
      <c r="D69" s="11">
        <f t="shared" si="1"/>
        <v>1</v>
      </c>
      <c r="E69" s="14"/>
      <c r="F69" s="13">
        <f t="shared" si="2"/>
        <v>7</v>
      </c>
      <c r="G69" s="14"/>
      <c r="H69" s="13">
        <f t="shared" si="3"/>
        <v>15</v>
      </c>
      <c r="I69" s="14"/>
      <c r="J69" s="13">
        <f t="shared" si="4"/>
        <v>30</v>
      </c>
      <c r="K69" s="14"/>
      <c r="L69" s="13"/>
      <c r="M69" s="14"/>
      <c r="N69" s="15"/>
    </row>
    <row r="70" ht="46.5" customHeight="1">
      <c r="A70" s="19" t="s">
        <v>86</v>
      </c>
      <c r="B70" s="16" t="s">
        <v>92</v>
      </c>
      <c r="C70" s="10" t="str">
        <f>'Master Tracker'!O70</f>
        <v/>
      </c>
      <c r="D70" s="11">
        <f t="shared" si="1"/>
        <v>1</v>
      </c>
      <c r="E70" s="14"/>
      <c r="F70" s="13">
        <f t="shared" si="2"/>
        <v>7</v>
      </c>
      <c r="G70" s="14"/>
      <c r="H70" s="13">
        <f t="shared" si="3"/>
        <v>15</v>
      </c>
      <c r="I70" s="14"/>
      <c r="J70" s="13">
        <f t="shared" si="4"/>
        <v>30</v>
      </c>
      <c r="K70" s="14"/>
      <c r="L70" s="13"/>
      <c r="M70" s="14"/>
      <c r="N70" s="15"/>
    </row>
    <row r="71" ht="46.5" customHeight="1">
      <c r="A71" s="19" t="s">
        <v>86</v>
      </c>
      <c r="B71" s="16" t="s">
        <v>93</v>
      </c>
      <c r="C71" s="10" t="str">
        <f>'Master Tracker'!O71</f>
        <v/>
      </c>
      <c r="D71" s="11">
        <f t="shared" si="1"/>
        <v>1</v>
      </c>
      <c r="E71" s="14"/>
      <c r="F71" s="13">
        <f t="shared" si="2"/>
        <v>7</v>
      </c>
      <c r="G71" s="14"/>
      <c r="H71" s="13">
        <f t="shared" si="3"/>
        <v>15</v>
      </c>
      <c r="I71" s="14"/>
      <c r="J71" s="13">
        <f t="shared" si="4"/>
        <v>30</v>
      </c>
      <c r="K71" s="14"/>
      <c r="L71" s="13"/>
      <c r="M71" s="14"/>
      <c r="N71" s="15"/>
    </row>
    <row r="72" ht="46.5" customHeight="1">
      <c r="A72" s="19" t="s">
        <v>86</v>
      </c>
      <c r="B72" s="16" t="s">
        <v>94</v>
      </c>
      <c r="C72" s="10" t="str">
        <f>'Master Tracker'!O72</f>
        <v/>
      </c>
      <c r="D72" s="11">
        <f t="shared" si="1"/>
        <v>1</v>
      </c>
      <c r="E72" s="14"/>
      <c r="F72" s="13">
        <f t="shared" si="2"/>
        <v>7</v>
      </c>
      <c r="G72" s="14"/>
      <c r="H72" s="13">
        <f t="shared" si="3"/>
        <v>15</v>
      </c>
      <c r="I72" s="14"/>
      <c r="J72" s="13">
        <f t="shared" si="4"/>
        <v>30</v>
      </c>
      <c r="K72" s="14"/>
      <c r="L72" s="13"/>
      <c r="M72" s="14"/>
      <c r="N72" s="15"/>
    </row>
    <row r="73" ht="46.5" customHeight="1">
      <c r="A73" s="19" t="s">
        <v>86</v>
      </c>
      <c r="B73" s="16" t="s">
        <v>95</v>
      </c>
      <c r="C73" s="10" t="str">
        <f>'Master Tracker'!O73</f>
        <v/>
      </c>
      <c r="D73" s="11">
        <f t="shared" si="1"/>
        <v>1</v>
      </c>
      <c r="E73" s="14"/>
      <c r="F73" s="13">
        <f t="shared" si="2"/>
        <v>7</v>
      </c>
      <c r="G73" s="14"/>
      <c r="H73" s="13">
        <f t="shared" si="3"/>
        <v>15</v>
      </c>
      <c r="I73" s="14"/>
      <c r="J73" s="13">
        <f t="shared" si="4"/>
        <v>30</v>
      </c>
      <c r="K73" s="14"/>
      <c r="L73" s="13"/>
      <c r="M73" s="14"/>
      <c r="N73" s="15"/>
    </row>
    <row r="74" ht="46.5" customHeight="1">
      <c r="A74" s="19" t="s">
        <v>86</v>
      </c>
      <c r="B74" s="16" t="s">
        <v>96</v>
      </c>
      <c r="C74" s="10" t="str">
        <f>'Master Tracker'!O74</f>
        <v/>
      </c>
      <c r="D74" s="11">
        <f t="shared" si="1"/>
        <v>1</v>
      </c>
      <c r="E74" s="14"/>
      <c r="F74" s="13">
        <f t="shared" si="2"/>
        <v>7</v>
      </c>
      <c r="G74" s="14"/>
      <c r="H74" s="13">
        <f t="shared" si="3"/>
        <v>15</v>
      </c>
      <c r="I74" s="14"/>
      <c r="J74" s="13">
        <f t="shared" si="4"/>
        <v>30</v>
      </c>
      <c r="K74" s="14"/>
      <c r="L74" s="13"/>
      <c r="M74" s="14"/>
      <c r="N74" s="15"/>
    </row>
    <row r="75" ht="46.5" customHeight="1">
      <c r="A75" s="19" t="s">
        <v>86</v>
      </c>
      <c r="B75" s="16" t="s">
        <v>97</v>
      </c>
      <c r="C75" s="10" t="str">
        <f>'Master Tracker'!O75</f>
        <v/>
      </c>
      <c r="D75" s="11">
        <f t="shared" si="1"/>
        <v>1</v>
      </c>
      <c r="E75" s="14"/>
      <c r="F75" s="13">
        <f t="shared" si="2"/>
        <v>7</v>
      </c>
      <c r="G75" s="14"/>
      <c r="H75" s="13">
        <f t="shared" si="3"/>
        <v>15</v>
      </c>
      <c r="I75" s="14"/>
      <c r="J75" s="13">
        <f t="shared" si="4"/>
        <v>30</v>
      </c>
      <c r="K75" s="14"/>
      <c r="L75" s="13"/>
      <c r="M75" s="14"/>
      <c r="N75" s="15"/>
    </row>
    <row r="76" ht="46.5" customHeight="1">
      <c r="A76" s="19" t="s">
        <v>86</v>
      </c>
      <c r="B76" s="16" t="s">
        <v>98</v>
      </c>
      <c r="C76" s="10" t="str">
        <f>'Master Tracker'!O76</f>
        <v/>
      </c>
      <c r="D76" s="11">
        <f t="shared" si="1"/>
        <v>1</v>
      </c>
      <c r="E76" s="14"/>
      <c r="F76" s="13">
        <f t="shared" si="2"/>
        <v>7</v>
      </c>
      <c r="G76" s="14"/>
      <c r="H76" s="13">
        <f t="shared" si="3"/>
        <v>15</v>
      </c>
      <c r="I76" s="14"/>
      <c r="J76" s="13">
        <f t="shared" si="4"/>
        <v>30</v>
      </c>
      <c r="K76" s="14"/>
      <c r="L76" s="13"/>
      <c r="M76" s="14"/>
      <c r="N76" s="15"/>
    </row>
    <row r="77" ht="46.5" customHeight="1">
      <c r="A77" s="19" t="s">
        <v>86</v>
      </c>
      <c r="B77" s="16" t="s">
        <v>99</v>
      </c>
      <c r="C77" s="10" t="str">
        <f>'Master Tracker'!O77</f>
        <v/>
      </c>
      <c r="D77" s="11">
        <f t="shared" si="1"/>
        <v>1</v>
      </c>
      <c r="E77" s="14"/>
      <c r="F77" s="13">
        <f t="shared" si="2"/>
        <v>7</v>
      </c>
      <c r="G77" s="14"/>
      <c r="H77" s="13">
        <f t="shared" si="3"/>
        <v>15</v>
      </c>
      <c r="I77" s="14"/>
      <c r="J77" s="13">
        <f t="shared" si="4"/>
        <v>30</v>
      </c>
      <c r="K77" s="14"/>
      <c r="L77" s="13"/>
      <c r="M77" s="14"/>
      <c r="N77" s="15"/>
    </row>
    <row r="78" ht="46.5" customHeight="1">
      <c r="A78" s="19" t="s">
        <v>86</v>
      </c>
      <c r="B78" s="16" t="s">
        <v>100</v>
      </c>
      <c r="C78" s="10" t="str">
        <f>'Master Tracker'!O78</f>
        <v/>
      </c>
      <c r="D78" s="11">
        <f t="shared" si="1"/>
        <v>1</v>
      </c>
      <c r="E78" s="14"/>
      <c r="F78" s="13">
        <f t="shared" si="2"/>
        <v>7</v>
      </c>
      <c r="G78" s="14"/>
      <c r="H78" s="13">
        <f t="shared" si="3"/>
        <v>15</v>
      </c>
      <c r="I78" s="14"/>
      <c r="J78" s="13">
        <f t="shared" si="4"/>
        <v>30</v>
      </c>
      <c r="K78" s="14"/>
      <c r="L78" s="13"/>
      <c r="M78" s="14"/>
      <c r="N78" s="15"/>
    </row>
    <row r="79" ht="46.5" customHeight="1">
      <c r="A79" s="19" t="s">
        <v>86</v>
      </c>
      <c r="B79" s="16" t="s">
        <v>101</v>
      </c>
      <c r="C79" s="10" t="str">
        <f>'Master Tracker'!O79</f>
        <v/>
      </c>
      <c r="D79" s="11">
        <f t="shared" si="1"/>
        <v>1</v>
      </c>
      <c r="E79" s="14"/>
      <c r="F79" s="13">
        <f t="shared" si="2"/>
        <v>7</v>
      </c>
      <c r="G79" s="14"/>
      <c r="H79" s="13">
        <f t="shared" si="3"/>
        <v>15</v>
      </c>
      <c r="I79" s="14"/>
      <c r="J79" s="13">
        <f t="shared" si="4"/>
        <v>30</v>
      </c>
      <c r="K79" s="14"/>
      <c r="L79" s="13"/>
      <c r="M79" s="14"/>
      <c r="N79" s="15"/>
    </row>
    <row r="80" ht="46.5" customHeight="1">
      <c r="A80" s="19" t="s">
        <v>86</v>
      </c>
      <c r="B80" s="16" t="s">
        <v>102</v>
      </c>
      <c r="C80" s="10" t="str">
        <f>'Master Tracker'!O80</f>
        <v/>
      </c>
      <c r="D80" s="11">
        <f t="shared" si="1"/>
        <v>1</v>
      </c>
      <c r="E80" s="14"/>
      <c r="F80" s="13">
        <f t="shared" si="2"/>
        <v>7</v>
      </c>
      <c r="G80" s="14"/>
      <c r="H80" s="13">
        <f t="shared" si="3"/>
        <v>15</v>
      </c>
      <c r="I80" s="14"/>
      <c r="J80" s="13">
        <f t="shared" si="4"/>
        <v>30</v>
      </c>
      <c r="K80" s="14"/>
      <c r="L80" s="13"/>
      <c r="M80" s="14"/>
      <c r="N80" s="15"/>
    </row>
    <row r="81" ht="46.5" customHeight="1">
      <c r="A81" s="19" t="s">
        <v>86</v>
      </c>
      <c r="B81" s="16" t="s">
        <v>103</v>
      </c>
      <c r="C81" s="10" t="str">
        <f>'Master Tracker'!O81</f>
        <v/>
      </c>
      <c r="D81" s="11">
        <f t="shared" si="1"/>
        <v>1</v>
      </c>
      <c r="E81" s="14"/>
      <c r="F81" s="13">
        <f t="shared" si="2"/>
        <v>7</v>
      </c>
      <c r="G81" s="14"/>
      <c r="H81" s="13">
        <f t="shared" si="3"/>
        <v>15</v>
      </c>
      <c r="I81" s="14"/>
      <c r="J81" s="13">
        <f t="shared" si="4"/>
        <v>30</v>
      </c>
      <c r="K81" s="14"/>
      <c r="L81" s="13"/>
      <c r="M81" s="14"/>
      <c r="N81" s="15"/>
    </row>
    <row r="82" ht="46.5" customHeight="1">
      <c r="A82" s="19" t="s">
        <v>86</v>
      </c>
      <c r="B82" s="16" t="s">
        <v>104</v>
      </c>
      <c r="C82" s="10" t="str">
        <f>'Master Tracker'!O82</f>
        <v/>
      </c>
      <c r="D82" s="11">
        <f t="shared" si="1"/>
        <v>1</v>
      </c>
      <c r="E82" s="14"/>
      <c r="F82" s="13">
        <f t="shared" si="2"/>
        <v>7</v>
      </c>
      <c r="G82" s="14"/>
      <c r="H82" s="13">
        <f t="shared" si="3"/>
        <v>15</v>
      </c>
      <c r="I82" s="14"/>
      <c r="J82" s="13">
        <f t="shared" si="4"/>
        <v>30</v>
      </c>
      <c r="K82" s="14"/>
      <c r="L82" s="13"/>
      <c r="M82" s="14"/>
      <c r="N82" s="15"/>
    </row>
    <row r="83" ht="46.5" customHeight="1">
      <c r="A83" s="19" t="s">
        <v>86</v>
      </c>
      <c r="B83" s="16" t="s">
        <v>105</v>
      </c>
      <c r="C83" s="10" t="str">
        <f>'Master Tracker'!O83</f>
        <v/>
      </c>
      <c r="D83" s="11">
        <f t="shared" si="1"/>
        <v>1</v>
      </c>
      <c r="E83" s="14"/>
      <c r="F83" s="13">
        <f t="shared" si="2"/>
        <v>7</v>
      </c>
      <c r="G83" s="14"/>
      <c r="H83" s="13">
        <f t="shared" si="3"/>
        <v>15</v>
      </c>
      <c r="I83" s="14"/>
      <c r="J83" s="13">
        <f t="shared" si="4"/>
        <v>30</v>
      </c>
      <c r="K83" s="14"/>
      <c r="L83" s="13"/>
      <c r="M83" s="14"/>
      <c r="N83" s="15"/>
    </row>
    <row r="84" ht="46.5" customHeight="1">
      <c r="A84" s="19" t="s">
        <v>86</v>
      </c>
      <c r="B84" s="16" t="s">
        <v>106</v>
      </c>
      <c r="C84" s="10" t="str">
        <f>'Master Tracker'!O84</f>
        <v/>
      </c>
      <c r="D84" s="11">
        <f t="shared" si="1"/>
        <v>1</v>
      </c>
      <c r="E84" s="14"/>
      <c r="F84" s="13">
        <f t="shared" si="2"/>
        <v>7</v>
      </c>
      <c r="G84" s="14"/>
      <c r="H84" s="13">
        <f t="shared" si="3"/>
        <v>15</v>
      </c>
      <c r="I84" s="14"/>
      <c r="J84" s="13">
        <f t="shared" si="4"/>
        <v>30</v>
      </c>
      <c r="K84" s="14"/>
      <c r="L84" s="13"/>
      <c r="M84" s="14"/>
      <c r="N84" s="15"/>
    </row>
    <row r="85" ht="46.5" customHeight="1">
      <c r="A85" s="19" t="s">
        <v>86</v>
      </c>
      <c r="B85" s="16" t="s">
        <v>107</v>
      </c>
      <c r="C85" s="10" t="str">
        <f>'Master Tracker'!O85</f>
        <v/>
      </c>
      <c r="D85" s="11">
        <f t="shared" si="1"/>
        <v>1</v>
      </c>
      <c r="E85" s="14"/>
      <c r="F85" s="13">
        <f t="shared" si="2"/>
        <v>7</v>
      </c>
      <c r="G85" s="14"/>
      <c r="H85" s="13">
        <f t="shared" si="3"/>
        <v>15</v>
      </c>
      <c r="I85" s="14"/>
      <c r="J85" s="13">
        <f t="shared" si="4"/>
        <v>30</v>
      </c>
      <c r="K85" s="14"/>
      <c r="L85" s="13"/>
      <c r="M85" s="14"/>
      <c r="N85" s="15"/>
    </row>
    <row r="86" ht="46.5" customHeight="1">
      <c r="A86" s="19" t="s">
        <v>86</v>
      </c>
      <c r="B86" s="16" t="s">
        <v>108</v>
      </c>
      <c r="C86" s="10" t="str">
        <f>'Master Tracker'!O86</f>
        <v/>
      </c>
      <c r="D86" s="11">
        <f t="shared" si="1"/>
        <v>1</v>
      </c>
      <c r="E86" s="14"/>
      <c r="F86" s="13">
        <f t="shared" si="2"/>
        <v>7</v>
      </c>
      <c r="G86" s="14"/>
      <c r="H86" s="13">
        <f t="shared" si="3"/>
        <v>15</v>
      </c>
      <c r="I86" s="14"/>
      <c r="J86" s="13">
        <f t="shared" si="4"/>
        <v>30</v>
      </c>
      <c r="K86" s="14"/>
      <c r="L86" s="13"/>
      <c r="M86" s="14"/>
      <c r="N86" s="15"/>
    </row>
    <row r="87" ht="46.5" customHeight="1">
      <c r="A87" s="19" t="s">
        <v>86</v>
      </c>
      <c r="B87" s="16" t="s">
        <v>109</v>
      </c>
      <c r="C87" s="10" t="str">
        <f>'Master Tracker'!O87</f>
        <v/>
      </c>
      <c r="D87" s="11">
        <f t="shared" si="1"/>
        <v>1</v>
      </c>
      <c r="E87" s="14"/>
      <c r="F87" s="13">
        <f t="shared" si="2"/>
        <v>7</v>
      </c>
      <c r="G87" s="14"/>
      <c r="H87" s="13">
        <f t="shared" si="3"/>
        <v>15</v>
      </c>
      <c r="I87" s="14"/>
      <c r="J87" s="13">
        <f t="shared" si="4"/>
        <v>30</v>
      </c>
      <c r="K87" s="14"/>
      <c r="L87" s="13"/>
      <c r="M87" s="14"/>
      <c r="N87" s="15"/>
    </row>
    <row r="88" ht="46.5" customHeight="1">
      <c r="A88" s="19" t="s">
        <v>86</v>
      </c>
      <c r="B88" s="16" t="s">
        <v>110</v>
      </c>
      <c r="C88" s="10" t="str">
        <f>'Master Tracker'!O88</f>
        <v/>
      </c>
      <c r="D88" s="11">
        <f t="shared" si="1"/>
        <v>1</v>
      </c>
      <c r="E88" s="14"/>
      <c r="F88" s="13">
        <f t="shared" si="2"/>
        <v>7</v>
      </c>
      <c r="G88" s="14"/>
      <c r="H88" s="13">
        <f t="shared" si="3"/>
        <v>15</v>
      </c>
      <c r="I88" s="14"/>
      <c r="J88" s="13">
        <f t="shared" si="4"/>
        <v>30</v>
      </c>
      <c r="K88" s="14"/>
      <c r="L88" s="13"/>
      <c r="M88" s="14"/>
      <c r="N88" s="15"/>
    </row>
    <row r="89" ht="46.5" customHeight="1">
      <c r="A89" s="19" t="s">
        <v>86</v>
      </c>
      <c r="B89" s="16" t="s">
        <v>111</v>
      </c>
      <c r="C89" s="10" t="str">
        <f>'Master Tracker'!O89</f>
        <v/>
      </c>
      <c r="D89" s="11">
        <f t="shared" si="1"/>
        <v>1</v>
      </c>
      <c r="E89" s="14"/>
      <c r="F89" s="13">
        <f t="shared" si="2"/>
        <v>7</v>
      </c>
      <c r="G89" s="14"/>
      <c r="H89" s="13">
        <f t="shared" si="3"/>
        <v>15</v>
      </c>
      <c r="I89" s="14"/>
      <c r="J89" s="13">
        <f t="shared" si="4"/>
        <v>30</v>
      </c>
      <c r="K89" s="14"/>
      <c r="L89" s="13"/>
      <c r="M89" s="14"/>
      <c r="N89" s="15"/>
    </row>
    <row r="90" ht="46.5" customHeight="1">
      <c r="A90" s="19" t="s">
        <v>86</v>
      </c>
      <c r="B90" s="16" t="s">
        <v>112</v>
      </c>
      <c r="C90" s="10" t="str">
        <f>'Master Tracker'!O90</f>
        <v/>
      </c>
      <c r="D90" s="11">
        <f t="shared" si="1"/>
        <v>1</v>
      </c>
      <c r="E90" s="14"/>
      <c r="F90" s="13">
        <f t="shared" si="2"/>
        <v>7</v>
      </c>
      <c r="G90" s="14"/>
      <c r="H90" s="13">
        <f t="shared" si="3"/>
        <v>15</v>
      </c>
      <c r="I90" s="14"/>
      <c r="J90" s="13">
        <f t="shared" si="4"/>
        <v>30</v>
      </c>
      <c r="K90" s="14"/>
      <c r="L90" s="13"/>
      <c r="M90" s="14"/>
      <c r="N90" s="15"/>
    </row>
    <row r="91" ht="46.5" customHeight="1">
      <c r="A91" s="20" t="s">
        <v>113</v>
      </c>
      <c r="B91" s="16" t="s">
        <v>114</v>
      </c>
      <c r="C91" s="10" t="str">
        <f>'Master Tracker'!O91</f>
        <v/>
      </c>
      <c r="D91" s="11">
        <f t="shared" si="1"/>
        <v>1</v>
      </c>
      <c r="E91" s="14"/>
      <c r="F91" s="13">
        <f t="shared" si="2"/>
        <v>7</v>
      </c>
      <c r="G91" s="14"/>
      <c r="H91" s="13">
        <f t="shared" si="3"/>
        <v>15</v>
      </c>
      <c r="I91" s="14"/>
      <c r="J91" s="13">
        <f t="shared" si="4"/>
        <v>30</v>
      </c>
      <c r="K91" s="14"/>
      <c r="L91" s="13"/>
      <c r="M91" s="14"/>
      <c r="N91" s="15"/>
    </row>
    <row r="92" ht="46.5" customHeight="1">
      <c r="A92" s="20" t="s">
        <v>113</v>
      </c>
      <c r="B92" s="16" t="s">
        <v>115</v>
      </c>
      <c r="C92" s="10" t="str">
        <f>'Master Tracker'!O92</f>
        <v/>
      </c>
      <c r="D92" s="11">
        <f t="shared" si="1"/>
        <v>1</v>
      </c>
      <c r="E92" s="14"/>
      <c r="F92" s="13">
        <f t="shared" si="2"/>
        <v>7</v>
      </c>
      <c r="G92" s="14"/>
      <c r="H92" s="13">
        <f t="shared" si="3"/>
        <v>15</v>
      </c>
      <c r="I92" s="14"/>
      <c r="J92" s="13">
        <f t="shared" si="4"/>
        <v>30</v>
      </c>
      <c r="K92" s="14"/>
      <c r="L92" s="13"/>
      <c r="M92" s="14"/>
      <c r="N92" s="15"/>
    </row>
    <row r="93" ht="46.5" customHeight="1">
      <c r="A93" s="20" t="s">
        <v>113</v>
      </c>
      <c r="B93" s="16" t="s">
        <v>116</v>
      </c>
      <c r="C93" s="10" t="str">
        <f>'Master Tracker'!O93</f>
        <v/>
      </c>
      <c r="D93" s="11">
        <f t="shared" si="1"/>
        <v>1</v>
      </c>
      <c r="E93" s="14"/>
      <c r="F93" s="13">
        <f t="shared" si="2"/>
        <v>7</v>
      </c>
      <c r="G93" s="14"/>
      <c r="H93" s="13">
        <f t="shared" si="3"/>
        <v>15</v>
      </c>
      <c r="I93" s="14"/>
      <c r="J93" s="13">
        <f t="shared" si="4"/>
        <v>30</v>
      </c>
      <c r="K93" s="14"/>
      <c r="L93" s="13"/>
      <c r="M93" s="14"/>
      <c r="N93" s="15"/>
    </row>
    <row r="94" ht="46.5" customHeight="1">
      <c r="A94" s="20" t="s">
        <v>113</v>
      </c>
      <c r="B94" s="16" t="s">
        <v>117</v>
      </c>
      <c r="C94" s="10" t="str">
        <f>'Master Tracker'!O94</f>
        <v/>
      </c>
      <c r="D94" s="11">
        <f t="shared" si="1"/>
        <v>1</v>
      </c>
      <c r="E94" s="14"/>
      <c r="F94" s="13">
        <f t="shared" si="2"/>
        <v>7</v>
      </c>
      <c r="G94" s="14"/>
      <c r="H94" s="13">
        <f t="shared" si="3"/>
        <v>15</v>
      </c>
      <c r="I94" s="14"/>
      <c r="J94" s="13">
        <f t="shared" si="4"/>
        <v>30</v>
      </c>
      <c r="K94" s="14"/>
      <c r="L94" s="13"/>
      <c r="M94" s="14"/>
      <c r="N94" s="15"/>
    </row>
    <row r="95" ht="46.5" customHeight="1">
      <c r="A95" s="20" t="s">
        <v>113</v>
      </c>
      <c r="B95" s="16" t="s">
        <v>118</v>
      </c>
      <c r="C95" s="10" t="str">
        <f>'Master Tracker'!O95</f>
        <v/>
      </c>
      <c r="D95" s="11">
        <f t="shared" si="1"/>
        <v>1</v>
      </c>
      <c r="E95" s="14"/>
      <c r="F95" s="13">
        <f t="shared" si="2"/>
        <v>7</v>
      </c>
      <c r="G95" s="14"/>
      <c r="H95" s="13">
        <f t="shared" si="3"/>
        <v>15</v>
      </c>
      <c r="I95" s="14"/>
      <c r="J95" s="13">
        <f t="shared" si="4"/>
        <v>30</v>
      </c>
      <c r="K95" s="14"/>
      <c r="L95" s="13"/>
      <c r="M95" s="14"/>
      <c r="N95" s="15"/>
    </row>
    <row r="96" ht="46.5" customHeight="1">
      <c r="A96" s="20" t="s">
        <v>113</v>
      </c>
      <c r="B96" s="16" t="s">
        <v>119</v>
      </c>
      <c r="C96" s="10" t="str">
        <f>'Master Tracker'!O96</f>
        <v/>
      </c>
      <c r="D96" s="11">
        <f t="shared" si="1"/>
        <v>1</v>
      </c>
      <c r="E96" s="14"/>
      <c r="F96" s="13">
        <f t="shared" si="2"/>
        <v>7</v>
      </c>
      <c r="G96" s="14"/>
      <c r="H96" s="13">
        <f t="shared" si="3"/>
        <v>15</v>
      </c>
      <c r="I96" s="14"/>
      <c r="J96" s="13">
        <f t="shared" si="4"/>
        <v>30</v>
      </c>
      <c r="K96" s="14"/>
      <c r="L96" s="13"/>
      <c r="M96" s="14"/>
      <c r="N96" s="15"/>
    </row>
    <row r="97" ht="46.5" customHeight="1">
      <c r="A97" s="20" t="s">
        <v>113</v>
      </c>
      <c r="B97" s="16" t="s">
        <v>120</v>
      </c>
      <c r="C97" s="10" t="str">
        <f>'Master Tracker'!O97</f>
        <v/>
      </c>
      <c r="D97" s="11">
        <f t="shared" si="1"/>
        <v>1</v>
      </c>
      <c r="E97" s="14"/>
      <c r="F97" s="13">
        <f t="shared" si="2"/>
        <v>7</v>
      </c>
      <c r="G97" s="14"/>
      <c r="H97" s="13">
        <f t="shared" si="3"/>
        <v>15</v>
      </c>
      <c r="I97" s="14"/>
      <c r="J97" s="13">
        <f t="shared" si="4"/>
        <v>30</v>
      </c>
      <c r="K97" s="14"/>
      <c r="L97" s="13"/>
      <c r="M97" s="14"/>
      <c r="N97" s="15"/>
    </row>
    <row r="98" ht="46.5" customHeight="1">
      <c r="A98" s="20" t="s">
        <v>113</v>
      </c>
      <c r="B98" s="16" t="s">
        <v>121</v>
      </c>
      <c r="C98" s="10" t="str">
        <f>'Master Tracker'!O98</f>
        <v/>
      </c>
      <c r="D98" s="11">
        <f t="shared" si="1"/>
        <v>1</v>
      </c>
      <c r="E98" s="14"/>
      <c r="F98" s="13">
        <f t="shared" si="2"/>
        <v>7</v>
      </c>
      <c r="G98" s="14"/>
      <c r="H98" s="13">
        <f t="shared" si="3"/>
        <v>15</v>
      </c>
      <c r="I98" s="14"/>
      <c r="J98" s="13">
        <f t="shared" si="4"/>
        <v>30</v>
      </c>
      <c r="K98" s="14"/>
      <c r="L98" s="13"/>
      <c r="M98" s="14"/>
      <c r="N98" s="15"/>
    </row>
    <row r="99" ht="46.5" customHeight="1">
      <c r="A99" s="20" t="s">
        <v>113</v>
      </c>
      <c r="B99" s="16" t="s">
        <v>122</v>
      </c>
      <c r="C99" s="10" t="str">
        <f>'Master Tracker'!O99</f>
        <v/>
      </c>
      <c r="D99" s="11">
        <f t="shared" si="1"/>
        <v>1</v>
      </c>
      <c r="E99" s="14"/>
      <c r="F99" s="13">
        <f t="shared" si="2"/>
        <v>7</v>
      </c>
      <c r="G99" s="14"/>
      <c r="H99" s="13">
        <f t="shared" si="3"/>
        <v>15</v>
      </c>
      <c r="I99" s="14"/>
      <c r="J99" s="13">
        <f t="shared" si="4"/>
        <v>30</v>
      </c>
      <c r="K99" s="14"/>
      <c r="L99" s="13"/>
      <c r="M99" s="14"/>
      <c r="N99" s="15"/>
    </row>
    <row r="100" ht="46.5" customHeight="1">
      <c r="A100" s="20" t="s">
        <v>113</v>
      </c>
      <c r="B100" s="16" t="s">
        <v>123</v>
      </c>
      <c r="C100" s="10" t="str">
        <f>'Master Tracker'!O100</f>
        <v/>
      </c>
      <c r="D100" s="11">
        <f t="shared" si="1"/>
        <v>1</v>
      </c>
      <c r="E100" s="14"/>
      <c r="F100" s="13">
        <f t="shared" si="2"/>
        <v>7</v>
      </c>
      <c r="G100" s="14"/>
      <c r="H100" s="13">
        <f t="shared" si="3"/>
        <v>15</v>
      </c>
      <c r="I100" s="14"/>
      <c r="J100" s="13">
        <f t="shared" si="4"/>
        <v>30</v>
      </c>
      <c r="K100" s="14"/>
      <c r="L100" s="13"/>
      <c r="M100" s="14"/>
      <c r="N100" s="15"/>
    </row>
    <row r="101" ht="46.5" customHeight="1">
      <c r="A101" s="20" t="s">
        <v>113</v>
      </c>
      <c r="B101" s="16" t="s">
        <v>124</v>
      </c>
      <c r="C101" s="10" t="str">
        <f>'Master Tracker'!O101</f>
        <v/>
      </c>
      <c r="D101" s="11">
        <f t="shared" si="1"/>
        <v>1</v>
      </c>
      <c r="E101" s="14"/>
      <c r="F101" s="13">
        <f t="shared" si="2"/>
        <v>7</v>
      </c>
      <c r="G101" s="14"/>
      <c r="H101" s="13">
        <f t="shared" si="3"/>
        <v>15</v>
      </c>
      <c r="I101" s="14"/>
      <c r="J101" s="13">
        <f t="shared" si="4"/>
        <v>30</v>
      </c>
      <c r="K101" s="14"/>
      <c r="L101" s="13"/>
      <c r="M101" s="14"/>
      <c r="N101" s="15"/>
    </row>
    <row r="102" ht="46.5" customHeight="1">
      <c r="A102" s="20" t="s">
        <v>113</v>
      </c>
      <c r="B102" s="16" t="s">
        <v>125</v>
      </c>
      <c r="C102" s="10" t="str">
        <f>'Master Tracker'!O102</f>
        <v/>
      </c>
      <c r="D102" s="11">
        <f t="shared" si="1"/>
        <v>1</v>
      </c>
      <c r="E102" s="14"/>
      <c r="F102" s="13">
        <f t="shared" si="2"/>
        <v>7</v>
      </c>
      <c r="G102" s="14"/>
      <c r="H102" s="13">
        <f t="shared" si="3"/>
        <v>15</v>
      </c>
      <c r="I102" s="14"/>
      <c r="J102" s="13">
        <f t="shared" si="4"/>
        <v>30</v>
      </c>
      <c r="K102" s="14"/>
      <c r="L102" s="13"/>
      <c r="M102" s="14"/>
      <c r="N102" s="15"/>
    </row>
    <row r="103" ht="46.5" customHeight="1">
      <c r="A103" s="20" t="s">
        <v>113</v>
      </c>
      <c r="B103" s="16" t="s">
        <v>126</v>
      </c>
      <c r="C103" s="10" t="str">
        <f>'Master Tracker'!O103</f>
        <v/>
      </c>
      <c r="D103" s="11">
        <f t="shared" si="1"/>
        <v>1</v>
      </c>
      <c r="E103" s="14"/>
      <c r="F103" s="13">
        <f t="shared" si="2"/>
        <v>7</v>
      </c>
      <c r="G103" s="14"/>
      <c r="H103" s="13">
        <f t="shared" si="3"/>
        <v>15</v>
      </c>
      <c r="I103" s="14"/>
      <c r="J103" s="13">
        <f t="shared" si="4"/>
        <v>30</v>
      </c>
      <c r="K103" s="14"/>
      <c r="L103" s="13"/>
      <c r="M103" s="14"/>
      <c r="N103" s="15"/>
    </row>
    <row r="104" ht="46.5" customHeight="1">
      <c r="A104" s="20" t="s">
        <v>113</v>
      </c>
      <c r="B104" s="16" t="s">
        <v>127</v>
      </c>
      <c r="C104" s="10" t="str">
        <f>'Master Tracker'!O104</f>
        <v/>
      </c>
      <c r="D104" s="11">
        <f t="shared" si="1"/>
        <v>1</v>
      </c>
      <c r="E104" s="14"/>
      <c r="F104" s="13">
        <f t="shared" si="2"/>
        <v>7</v>
      </c>
      <c r="G104" s="14"/>
      <c r="H104" s="13">
        <f t="shared" si="3"/>
        <v>15</v>
      </c>
      <c r="I104" s="14"/>
      <c r="J104" s="13">
        <f t="shared" si="4"/>
        <v>30</v>
      </c>
      <c r="K104" s="14"/>
      <c r="L104" s="13"/>
      <c r="M104" s="14"/>
      <c r="N104" s="15"/>
    </row>
    <row r="105" ht="46.5" customHeight="1">
      <c r="A105" s="20" t="s">
        <v>113</v>
      </c>
      <c r="B105" s="16" t="s">
        <v>128</v>
      </c>
      <c r="C105" s="10" t="str">
        <f>'Master Tracker'!O105</f>
        <v/>
      </c>
      <c r="D105" s="11">
        <f t="shared" si="1"/>
        <v>1</v>
      </c>
      <c r="E105" s="14"/>
      <c r="F105" s="13">
        <f t="shared" si="2"/>
        <v>7</v>
      </c>
      <c r="G105" s="14"/>
      <c r="H105" s="13">
        <f t="shared" si="3"/>
        <v>15</v>
      </c>
      <c r="I105" s="14"/>
      <c r="J105" s="13">
        <f t="shared" si="4"/>
        <v>30</v>
      </c>
      <c r="K105" s="14"/>
      <c r="L105" s="13"/>
      <c r="M105" s="14"/>
      <c r="N105" s="15"/>
    </row>
    <row r="106" ht="46.5" customHeight="1">
      <c r="A106" s="20" t="s">
        <v>113</v>
      </c>
      <c r="B106" s="16" t="s">
        <v>129</v>
      </c>
      <c r="C106" s="10" t="str">
        <f>'Master Tracker'!O106</f>
        <v/>
      </c>
      <c r="D106" s="11">
        <f t="shared" si="1"/>
        <v>1</v>
      </c>
      <c r="E106" s="14"/>
      <c r="F106" s="13">
        <f t="shared" si="2"/>
        <v>7</v>
      </c>
      <c r="G106" s="14"/>
      <c r="H106" s="13">
        <f t="shared" si="3"/>
        <v>15</v>
      </c>
      <c r="I106" s="14"/>
      <c r="J106" s="13">
        <f t="shared" si="4"/>
        <v>30</v>
      </c>
      <c r="K106" s="14"/>
      <c r="L106" s="13"/>
      <c r="M106" s="14"/>
      <c r="N106" s="15"/>
    </row>
    <row r="107" ht="46.5" customHeight="1">
      <c r="A107" s="20" t="s">
        <v>113</v>
      </c>
      <c r="B107" s="16" t="s">
        <v>130</v>
      </c>
      <c r="C107" s="10" t="str">
        <f>'Master Tracker'!O107</f>
        <v/>
      </c>
      <c r="D107" s="11">
        <f t="shared" si="1"/>
        <v>1</v>
      </c>
      <c r="E107" s="14"/>
      <c r="F107" s="13">
        <f t="shared" si="2"/>
        <v>7</v>
      </c>
      <c r="G107" s="14"/>
      <c r="H107" s="13">
        <f t="shared" si="3"/>
        <v>15</v>
      </c>
      <c r="I107" s="14"/>
      <c r="J107" s="13">
        <f t="shared" si="4"/>
        <v>30</v>
      </c>
      <c r="K107" s="14"/>
      <c r="L107" s="13"/>
      <c r="M107" s="14"/>
      <c r="N107" s="15"/>
    </row>
    <row r="108" ht="46.5" customHeight="1">
      <c r="A108" s="21" t="s">
        <v>131</v>
      </c>
      <c r="B108" s="16" t="s">
        <v>132</v>
      </c>
      <c r="C108" s="10" t="str">
        <f>'Master Tracker'!O108</f>
        <v/>
      </c>
      <c r="D108" s="11">
        <f t="shared" si="1"/>
        <v>1</v>
      </c>
      <c r="E108" s="14"/>
      <c r="F108" s="13">
        <f t="shared" si="2"/>
        <v>7</v>
      </c>
      <c r="G108" s="14"/>
      <c r="H108" s="13">
        <f t="shared" si="3"/>
        <v>15</v>
      </c>
      <c r="I108" s="14"/>
      <c r="J108" s="13">
        <f t="shared" si="4"/>
        <v>30</v>
      </c>
      <c r="K108" s="14"/>
      <c r="L108" s="13"/>
      <c r="M108" s="14"/>
      <c r="N108" s="15"/>
    </row>
    <row r="109" ht="46.5" customHeight="1">
      <c r="A109" s="21" t="s">
        <v>131</v>
      </c>
      <c r="B109" s="16" t="s">
        <v>133</v>
      </c>
      <c r="C109" s="10" t="str">
        <f>'Master Tracker'!O109</f>
        <v/>
      </c>
      <c r="D109" s="11">
        <f t="shared" si="1"/>
        <v>1</v>
      </c>
      <c r="E109" s="14"/>
      <c r="F109" s="13">
        <f t="shared" si="2"/>
        <v>7</v>
      </c>
      <c r="G109" s="14"/>
      <c r="H109" s="13">
        <f t="shared" si="3"/>
        <v>15</v>
      </c>
      <c r="I109" s="14"/>
      <c r="J109" s="13">
        <f t="shared" si="4"/>
        <v>30</v>
      </c>
      <c r="K109" s="14"/>
      <c r="L109" s="13"/>
      <c r="M109" s="14"/>
      <c r="N109" s="15"/>
    </row>
    <row r="110" ht="46.5" customHeight="1">
      <c r="A110" s="21" t="s">
        <v>131</v>
      </c>
      <c r="B110" s="16" t="s">
        <v>134</v>
      </c>
      <c r="C110" s="10" t="str">
        <f>'Master Tracker'!O110</f>
        <v/>
      </c>
      <c r="D110" s="11">
        <f t="shared" si="1"/>
        <v>1</v>
      </c>
      <c r="E110" s="14"/>
      <c r="F110" s="13">
        <f t="shared" si="2"/>
        <v>7</v>
      </c>
      <c r="G110" s="14"/>
      <c r="H110" s="13">
        <f t="shared" si="3"/>
        <v>15</v>
      </c>
      <c r="I110" s="14"/>
      <c r="J110" s="13">
        <f t="shared" si="4"/>
        <v>30</v>
      </c>
      <c r="K110" s="14"/>
      <c r="L110" s="13"/>
      <c r="M110" s="14"/>
      <c r="N110" s="15"/>
    </row>
    <row r="111" ht="46.5" customHeight="1">
      <c r="A111" s="21" t="s">
        <v>131</v>
      </c>
      <c r="B111" s="16" t="s">
        <v>135</v>
      </c>
      <c r="C111" s="10" t="str">
        <f>'Master Tracker'!O111</f>
        <v/>
      </c>
      <c r="D111" s="11">
        <f t="shared" si="1"/>
        <v>1</v>
      </c>
      <c r="E111" s="14"/>
      <c r="F111" s="13">
        <f t="shared" si="2"/>
        <v>7</v>
      </c>
      <c r="G111" s="14"/>
      <c r="H111" s="13">
        <f t="shared" si="3"/>
        <v>15</v>
      </c>
      <c r="I111" s="14"/>
      <c r="J111" s="13">
        <f t="shared" si="4"/>
        <v>30</v>
      </c>
      <c r="K111" s="14"/>
      <c r="L111" s="13"/>
      <c r="M111" s="14"/>
      <c r="N111" s="15"/>
    </row>
    <row r="112" ht="46.5" customHeight="1">
      <c r="A112" s="21" t="s">
        <v>131</v>
      </c>
      <c r="B112" s="16" t="s">
        <v>136</v>
      </c>
      <c r="C112" s="10" t="str">
        <f>'Master Tracker'!O112</f>
        <v/>
      </c>
      <c r="D112" s="11">
        <f t="shared" si="1"/>
        <v>1</v>
      </c>
      <c r="E112" s="14"/>
      <c r="F112" s="13">
        <f t="shared" si="2"/>
        <v>7</v>
      </c>
      <c r="G112" s="14"/>
      <c r="H112" s="13">
        <f t="shared" si="3"/>
        <v>15</v>
      </c>
      <c r="I112" s="14"/>
      <c r="J112" s="13">
        <f t="shared" si="4"/>
        <v>30</v>
      </c>
      <c r="K112" s="14"/>
      <c r="L112" s="13"/>
      <c r="M112" s="14"/>
      <c r="N112" s="15"/>
    </row>
    <row r="113" ht="46.5" customHeight="1">
      <c r="A113" s="21" t="s">
        <v>131</v>
      </c>
      <c r="B113" s="16" t="s">
        <v>137</v>
      </c>
      <c r="C113" s="10" t="str">
        <f>'Master Tracker'!O113</f>
        <v/>
      </c>
      <c r="D113" s="11">
        <f t="shared" si="1"/>
        <v>1</v>
      </c>
      <c r="E113" s="14"/>
      <c r="F113" s="13">
        <f t="shared" si="2"/>
        <v>7</v>
      </c>
      <c r="G113" s="14"/>
      <c r="H113" s="13">
        <f t="shared" si="3"/>
        <v>15</v>
      </c>
      <c r="I113" s="14"/>
      <c r="J113" s="13">
        <f t="shared" si="4"/>
        <v>30</v>
      </c>
      <c r="K113" s="14"/>
      <c r="L113" s="13"/>
      <c r="M113" s="14"/>
      <c r="N113" s="15"/>
    </row>
    <row r="114" ht="46.5" customHeight="1">
      <c r="A114" s="21" t="s">
        <v>131</v>
      </c>
      <c r="B114" s="16" t="s">
        <v>138</v>
      </c>
      <c r="C114" s="10" t="str">
        <f>'Master Tracker'!O114</f>
        <v/>
      </c>
      <c r="D114" s="11">
        <f t="shared" si="1"/>
        <v>1</v>
      </c>
      <c r="E114" s="14"/>
      <c r="F114" s="13">
        <f t="shared" si="2"/>
        <v>7</v>
      </c>
      <c r="G114" s="14"/>
      <c r="H114" s="13">
        <f t="shared" si="3"/>
        <v>15</v>
      </c>
      <c r="I114" s="14"/>
      <c r="J114" s="13">
        <f t="shared" si="4"/>
        <v>30</v>
      </c>
      <c r="K114" s="14"/>
      <c r="L114" s="13"/>
      <c r="M114" s="14"/>
      <c r="N114" s="15"/>
    </row>
    <row r="115" ht="46.5" customHeight="1">
      <c r="A115" s="21" t="s">
        <v>131</v>
      </c>
      <c r="B115" s="16" t="s">
        <v>139</v>
      </c>
      <c r="C115" s="10" t="str">
        <f>'Master Tracker'!O115</f>
        <v/>
      </c>
      <c r="D115" s="11">
        <f t="shared" si="1"/>
        <v>1</v>
      </c>
      <c r="E115" s="14"/>
      <c r="F115" s="13">
        <f t="shared" si="2"/>
        <v>7</v>
      </c>
      <c r="G115" s="14"/>
      <c r="H115" s="13">
        <f t="shared" si="3"/>
        <v>15</v>
      </c>
      <c r="I115" s="14"/>
      <c r="J115" s="13">
        <f t="shared" si="4"/>
        <v>30</v>
      </c>
      <c r="K115" s="14"/>
      <c r="L115" s="13"/>
      <c r="M115" s="14"/>
      <c r="N115" s="15"/>
    </row>
    <row r="116" ht="46.5" customHeight="1">
      <c r="A116" s="21" t="s">
        <v>131</v>
      </c>
      <c r="B116" s="16" t="s">
        <v>140</v>
      </c>
      <c r="C116" s="10" t="str">
        <f>'Master Tracker'!O116</f>
        <v/>
      </c>
      <c r="D116" s="11">
        <f t="shared" si="1"/>
        <v>1</v>
      </c>
      <c r="E116" s="14"/>
      <c r="F116" s="13">
        <f t="shared" si="2"/>
        <v>7</v>
      </c>
      <c r="G116" s="14"/>
      <c r="H116" s="13">
        <f t="shared" si="3"/>
        <v>15</v>
      </c>
      <c r="I116" s="14"/>
      <c r="J116" s="13">
        <f t="shared" si="4"/>
        <v>30</v>
      </c>
      <c r="K116" s="14"/>
      <c r="L116" s="13"/>
      <c r="M116" s="14"/>
      <c r="N116" s="15"/>
    </row>
    <row r="117" ht="46.5" customHeight="1">
      <c r="A117" s="21" t="s">
        <v>131</v>
      </c>
      <c r="B117" s="16" t="s">
        <v>141</v>
      </c>
      <c r="C117" s="10" t="str">
        <f>'Master Tracker'!O117</f>
        <v/>
      </c>
      <c r="D117" s="11">
        <f t="shared" si="1"/>
        <v>1</v>
      </c>
      <c r="E117" s="14"/>
      <c r="F117" s="13">
        <f t="shared" si="2"/>
        <v>7</v>
      </c>
      <c r="G117" s="14"/>
      <c r="H117" s="13">
        <f t="shared" si="3"/>
        <v>15</v>
      </c>
      <c r="I117" s="14"/>
      <c r="J117" s="13">
        <f t="shared" si="4"/>
        <v>30</v>
      </c>
      <c r="K117" s="14"/>
      <c r="L117" s="13"/>
      <c r="M117" s="14"/>
      <c r="N117" s="15"/>
    </row>
    <row r="118" ht="46.5" customHeight="1">
      <c r="A118" s="21" t="s">
        <v>131</v>
      </c>
      <c r="B118" s="16" t="s">
        <v>142</v>
      </c>
      <c r="C118" s="10" t="str">
        <f>'Master Tracker'!O118</f>
        <v/>
      </c>
      <c r="D118" s="11">
        <f t="shared" si="1"/>
        <v>1</v>
      </c>
      <c r="E118" s="14"/>
      <c r="F118" s="13">
        <f t="shared" si="2"/>
        <v>7</v>
      </c>
      <c r="G118" s="14"/>
      <c r="H118" s="13">
        <f t="shared" si="3"/>
        <v>15</v>
      </c>
      <c r="I118" s="14"/>
      <c r="J118" s="13">
        <f t="shared" si="4"/>
        <v>30</v>
      </c>
      <c r="K118" s="14"/>
      <c r="L118" s="13"/>
      <c r="M118" s="14"/>
      <c r="N118" s="15"/>
    </row>
    <row r="119" ht="46.5" customHeight="1">
      <c r="A119" s="21" t="s">
        <v>131</v>
      </c>
      <c r="B119" s="16" t="s">
        <v>143</v>
      </c>
      <c r="C119" s="10" t="str">
        <f>'Master Tracker'!O119</f>
        <v/>
      </c>
      <c r="D119" s="11">
        <f t="shared" si="1"/>
        <v>1</v>
      </c>
      <c r="E119" s="14"/>
      <c r="F119" s="13">
        <f t="shared" si="2"/>
        <v>7</v>
      </c>
      <c r="G119" s="14"/>
      <c r="H119" s="13">
        <f t="shared" si="3"/>
        <v>15</v>
      </c>
      <c r="I119" s="14"/>
      <c r="J119" s="13">
        <f t="shared" si="4"/>
        <v>30</v>
      </c>
      <c r="K119" s="14"/>
      <c r="L119" s="13"/>
      <c r="M119" s="14"/>
      <c r="N119" s="15"/>
    </row>
    <row r="120" ht="46.5" customHeight="1">
      <c r="A120" s="21" t="s">
        <v>131</v>
      </c>
      <c r="B120" s="16" t="s">
        <v>144</v>
      </c>
      <c r="C120" s="10" t="str">
        <f>'Master Tracker'!O120</f>
        <v/>
      </c>
      <c r="D120" s="11">
        <f t="shared" si="1"/>
        <v>1</v>
      </c>
      <c r="E120" s="14"/>
      <c r="F120" s="13">
        <f t="shared" si="2"/>
        <v>7</v>
      </c>
      <c r="G120" s="14"/>
      <c r="H120" s="13">
        <f t="shared" si="3"/>
        <v>15</v>
      </c>
      <c r="I120" s="14"/>
      <c r="J120" s="13">
        <f t="shared" si="4"/>
        <v>30</v>
      </c>
      <c r="K120" s="14"/>
      <c r="L120" s="13"/>
      <c r="M120" s="14"/>
      <c r="N120" s="15"/>
    </row>
    <row r="121" ht="46.5" customHeight="1">
      <c r="A121" s="21" t="s">
        <v>131</v>
      </c>
      <c r="B121" s="16" t="s">
        <v>145</v>
      </c>
      <c r="C121" s="10" t="str">
        <f>'Master Tracker'!O121</f>
        <v/>
      </c>
      <c r="D121" s="11">
        <f t="shared" si="1"/>
        <v>1</v>
      </c>
      <c r="E121" s="14"/>
      <c r="F121" s="13">
        <f t="shared" si="2"/>
        <v>7</v>
      </c>
      <c r="G121" s="14"/>
      <c r="H121" s="13">
        <f t="shared" si="3"/>
        <v>15</v>
      </c>
      <c r="I121" s="14"/>
      <c r="J121" s="13">
        <f t="shared" si="4"/>
        <v>30</v>
      </c>
      <c r="K121" s="14"/>
      <c r="L121" s="13"/>
      <c r="M121" s="14"/>
      <c r="N121" s="15"/>
    </row>
    <row r="122" ht="46.5" customHeight="1">
      <c r="A122" s="21" t="s">
        <v>131</v>
      </c>
      <c r="B122" s="16" t="s">
        <v>146</v>
      </c>
      <c r="C122" s="10" t="str">
        <f>'Master Tracker'!O122</f>
        <v/>
      </c>
      <c r="D122" s="11">
        <f t="shared" si="1"/>
        <v>1</v>
      </c>
      <c r="E122" s="14"/>
      <c r="F122" s="13">
        <f t="shared" si="2"/>
        <v>7</v>
      </c>
      <c r="G122" s="14"/>
      <c r="H122" s="13">
        <f t="shared" si="3"/>
        <v>15</v>
      </c>
      <c r="I122" s="14"/>
      <c r="J122" s="13">
        <f t="shared" si="4"/>
        <v>30</v>
      </c>
      <c r="K122" s="14"/>
      <c r="L122" s="13"/>
      <c r="M122" s="14"/>
      <c r="N122" s="15"/>
    </row>
    <row r="123" ht="46.5" customHeight="1">
      <c r="A123" s="21" t="s">
        <v>131</v>
      </c>
      <c r="B123" s="16" t="s">
        <v>147</v>
      </c>
      <c r="C123" s="10" t="str">
        <f>'Master Tracker'!O123</f>
        <v/>
      </c>
      <c r="D123" s="11">
        <f t="shared" si="1"/>
        <v>1</v>
      </c>
      <c r="E123" s="14"/>
      <c r="F123" s="13">
        <f t="shared" si="2"/>
        <v>7</v>
      </c>
      <c r="G123" s="14"/>
      <c r="H123" s="13">
        <f t="shared" si="3"/>
        <v>15</v>
      </c>
      <c r="I123" s="14"/>
      <c r="J123" s="13">
        <f t="shared" si="4"/>
        <v>30</v>
      </c>
      <c r="K123" s="14"/>
      <c r="L123" s="13"/>
      <c r="M123" s="14"/>
      <c r="N123" s="15"/>
    </row>
    <row r="124" ht="46.5" customHeight="1">
      <c r="A124" s="21" t="s">
        <v>131</v>
      </c>
      <c r="B124" s="16" t="s">
        <v>148</v>
      </c>
      <c r="C124" s="10" t="str">
        <f>'Master Tracker'!O124</f>
        <v/>
      </c>
      <c r="D124" s="11">
        <f t="shared" si="1"/>
        <v>1</v>
      </c>
      <c r="E124" s="14"/>
      <c r="F124" s="13">
        <f t="shared" si="2"/>
        <v>7</v>
      </c>
      <c r="G124" s="14"/>
      <c r="H124" s="13">
        <f t="shared" si="3"/>
        <v>15</v>
      </c>
      <c r="I124" s="14"/>
      <c r="J124" s="13">
        <f t="shared" si="4"/>
        <v>30</v>
      </c>
      <c r="K124" s="14"/>
      <c r="L124" s="13"/>
      <c r="M124" s="14"/>
      <c r="N124" s="15"/>
    </row>
    <row r="125" ht="46.5" customHeight="1">
      <c r="A125" s="21" t="s">
        <v>131</v>
      </c>
      <c r="B125" s="16" t="s">
        <v>149</v>
      </c>
      <c r="C125" s="10" t="str">
        <f>'Master Tracker'!O125</f>
        <v/>
      </c>
      <c r="D125" s="11">
        <f t="shared" si="1"/>
        <v>1</v>
      </c>
      <c r="E125" s="14"/>
      <c r="F125" s="13">
        <f t="shared" si="2"/>
        <v>7</v>
      </c>
      <c r="G125" s="14"/>
      <c r="H125" s="13">
        <f t="shared" si="3"/>
        <v>15</v>
      </c>
      <c r="I125" s="14"/>
      <c r="J125" s="13">
        <f t="shared" si="4"/>
        <v>30</v>
      </c>
      <c r="K125" s="14"/>
      <c r="L125" s="13"/>
      <c r="M125" s="14"/>
      <c r="N125" s="15"/>
    </row>
    <row r="126" ht="46.5" customHeight="1">
      <c r="A126" s="21" t="s">
        <v>131</v>
      </c>
      <c r="B126" s="16" t="s">
        <v>150</v>
      </c>
      <c r="C126" s="10" t="str">
        <f>'Master Tracker'!O126</f>
        <v/>
      </c>
      <c r="D126" s="11">
        <f t="shared" si="1"/>
        <v>1</v>
      </c>
      <c r="E126" s="14"/>
      <c r="F126" s="13">
        <f t="shared" si="2"/>
        <v>7</v>
      </c>
      <c r="G126" s="14"/>
      <c r="H126" s="13">
        <f t="shared" si="3"/>
        <v>15</v>
      </c>
      <c r="I126" s="14"/>
      <c r="J126" s="13">
        <f t="shared" si="4"/>
        <v>30</v>
      </c>
      <c r="K126" s="14"/>
      <c r="L126" s="13"/>
      <c r="M126" s="14"/>
      <c r="N126" s="15"/>
    </row>
    <row r="127" ht="46.5" customHeight="1">
      <c r="A127" s="21" t="s">
        <v>151</v>
      </c>
      <c r="B127" s="16" t="s">
        <v>152</v>
      </c>
      <c r="C127" s="10" t="str">
        <f>'Master Tracker'!O127</f>
        <v/>
      </c>
      <c r="D127" s="11">
        <f t="shared" si="1"/>
        <v>1</v>
      </c>
      <c r="E127" s="14"/>
      <c r="F127" s="13">
        <f t="shared" si="2"/>
        <v>7</v>
      </c>
      <c r="G127" s="14"/>
      <c r="H127" s="13">
        <f t="shared" si="3"/>
        <v>15</v>
      </c>
      <c r="I127" s="14"/>
      <c r="J127" s="13">
        <f t="shared" si="4"/>
        <v>30</v>
      </c>
      <c r="K127" s="14"/>
      <c r="L127" s="13"/>
      <c r="M127" s="14"/>
      <c r="N127" s="15"/>
    </row>
    <row r="128" ht="46.5" customHeight="1">
      <c r="A128" s="21" t="s">
        <v>151</v>
      </c>
      <c r="B128" s="16" t="s">
        <v>153</v>
      </c>
      <c r="C128" s="10" t="str">
        <f>'Master Tracker'!O128</f>
        <v/>
      </c>
      <c r="D128" s="11">
        <f t="shared" si="1"/>
        <v>1</v>
      </c>
      <c r="E128" s="14"/>
      <c r="F128" s="13">
        <f t="shared" si="2"/>
        <v>7</v>
      </c>
      <c r="G128" s="14"/>
      <c r="H128" s="13">
        <f t="shared" si="3"/>
        <v>15</v>
      </c>
      <c r="I128" s="14"/>
      <c r="J128" s="13">
        <f t="shared" si="4"/>
        <v>30</v>
      </c>
      <c r="K128" s="14"/>
      <c r="L128" s="13"/>
      <c r="M128" s="14"/>
      <c r="N128" s="15"/>
    </row>
    <row r="129" ht="46.5" customHeight="1">
      <c r="A129" s="21" t="s">
        <v>151</v>
      </c>
      <c r="B129" s="16" t="s">
        <v>154</v>
      </c>
      <c r="C129" s="10" t="str">
        <f>'Master Tracker'!O129</f>
        <v/>
      </c>
      <c r="D129" s="11">
        <f t="shared" si="1"/>
        <v>1</v>
      </c>
      <c r="E129" s="14"/>
      <c r="F129" s="13">
        <f t="shared" si="2"/>
        <v>7</v>
      </c>
      <c r="G129" s="14"/>
      <c r="H129" s="13">
        <f t="shared" si="3"/>
        <v>15</v>
      </c>
      <c r="I129" s="14"/>
      <c r="J129" s="13">
        <f t="shared" si="4"/>
        <v>30</v>
      </c>
      <c r="K129" s="14"/>
      <c r="L129" s="13"/>
      <c r="M129" s="14"/>
      <c r="N129" s="15"/>
    </row>
    <row r="130" ht="46.5" customHeight="1">
      <c r="A130" s="21" t="s">
        <v>151</v>
      </c>
      <c r="B130" s="16" t="s">
        <v>155</v>
      </c>
      <c r="C130" s="10" t="str">
        <f>'Master Tracker'!O130</f>
        <v/>
      </c>
      <c r="D130" s="11">
        <f t="shared" si="1"/>
        <v>1</v>
      </c>
      <c r="E130" s="14"/>
      <c r="F130" s="13">
        <f t="shared" si="2"/>
        <v>7</v>
      </c>
      <c r="G130" s="14"/>
      <c r="H130" s="13">
        <f t="shared" si="3"/>
        <v>15</v>
      </c>
      <c r="I130" s="14"/>
      <c r="J130" s="13">
        <f t="shared" si="4"/>
        <v>30</v>
      </c>
      <c r="K130" s="14"/>
      <c r="L130" s="13"/>
      <c r="M130" s="14"/>
      <c r="N130" s="15"/>
    </row>
    <row r="131" ht="46.5" customHeight="1">
      <c r="A131" s="21" t="s">
        <v>151</v>
      </c>
      <c r="B131" s="16" t="s">
        <v>156</v>
      </c>
      <c r="C131" s="10" t="str">
        <f>'Master Tracker'!O131</f>
        <v/>
      </c>
      <c r="D131" s="11">
        <f t="shared" si="1"/>
        <v>1</v>
      </c>
      <c r="E131" s="14"/>
      <c r="F131" s="13">
        <f t="shared" si="2"/>
        <v>7</v>
      </c>
      <c r="G131" s="14"/>
      <c r="H131" s="13">
        <f t="shared" si="3"/>
        <v>15</v>
      </c>
      <c r="I131" s="14"/>
      <c r="J131" s="13">
        <f t="shared" si="4"/>
        <v>30</v>
      </c>
      <c r="K131" s="14"/>
      <c r="L131" s="13"/>
      <c r="M131" s="14"/>
      <c r="N131" s="15"/>
    </row>
    <row r="132" ht="46.5" customHeight="1">
      <c r="A132" s="21" t="s">
        <v>151</v>
      </c>
      <c r="B132" s="16" t="s">
        <v>157</v>
      </c>
      <c r="C132" s="10" t="str">
        <f>'Master Tracker'!O132</f>
        <v/>
      </c>
      <c r="D132" s="11">
        <f t="shared" si="1"/>
        <v>1</v>
      </c>
      <c r="E132" s="14"/>
      <c r="F132" s="13">
        <f t="shared" si="2"/>
        <v>7</v>
      </c>
      <c r="G132" s="14"/>
      <c r="H132" s="13">
        <f t="shared" si="3"/>
        <v>15</v>
      </c>
      <c r="I132" s="14"/>
      <c r="J132" s="13">
        <f t="shared" si="4"/>
        <v>30</v>
      </c>
      <c r="K132" s="14"/>
      <c r="L132" s="13"/>
      <c r="M132" s="14"/>
      <c r="N132" s="15"/>
    </row>
    <row r="133" ht="46.5" customHeight="1">
      <c r="A133" s="21" t="s">
        <v>151</v>
      </c>
      <c r="B133" s="16" t="s">
        <v>158</v>
      </c>
      <c r="C133" s="10" t="str">
        <f>'Master Tracker'!O133</f>
        <v/>
      </c>
      <c r="D133" s="11">
        <f t="shared" si="1"/>
        <v>1</v>
      </c>
      <c r="E133" s="14"/>
      <c r="F133" s="13">
        <f t="shared" si="2"/>
        <v>7</v>
      </c>
      <c r="G133" s="14"/>
      <c r="H133" s="13">
        <f t="shared" si="3"/>
        <v>15</v>
      </c>
      <c r="I133" s="14"/>
      <c r="J133" s="13">
        <f t="shared" si="4"/>
        <v>30</v>
      </c>
      <c r="K133" s="14"/>
      <c r="L133" s="13"/>
      <c r="M133" s="14"/>
      <c r="N133" s="15"/>
    </row>
    <row r="134" ht="46.5" customHeight="1">
      <c r="A134" s="21" t="s">
        <v>151</v>
      </c>
      <c r="B134" s="16" t="s">
        <v>159</v>
      </c>
      <c r="C134" s="10" t="str">
        <f>'Master Tracker'!O134</f>
        <v/>
      </c>
      <c r="D134" s="11">
        <f t="shared" si="1"/>
        <v>1</v>
      </c>
      <c r="E134" s="14"/>
      <c r="F134" s="13">
        <f t="shared" si="2"/>
        <v>7</v>
      </c>
      <c r="G134" s="14"/>
      <c r="H134" s="13">
        <f t="shared" si="3"/>
        <v>15</v>
      </c>
      <c r="I134" s="14"/>
      <c r="J134" s="13">
        <f t="shared" si="4"/>
        <v>30</v>
      </c>
      <c r="K134" s="14"/>
      <c r="L134" s="13"/>
      <c r="M134" s="14"/>
      <c r="N134" s="15"/>
    </row>
    <row r="135" ht="46.5" customHeight="1">
      <c r="A135" s="21" t="s">
        <v>151</v>
      </c>
      <c r="B135" s="16" t="s">
        <v>160</v>
      </c>
      <c r="C135" s="10" t="str">
        <f>'Master Tracker'!O135</f>
        <v/>
      </c>
      <c r="D135" s="11">
        <f t="shared" si="1"/>
        <v>1</v>
      </c>
      <c r="E135" s="14"/>
      <c r="F135" s="13">
        <f t="shared" si="2"/>
        <v>7</v>
      </c>
      <c r="G135" s="14"/>
      <c r="H135" s="13">
        <f t="shared" si="3"/>
        <v>15</v>
      </c>
      <c r="I135" s="14"/>
      <c r="J135" s="13">
        <f t="shared" si="4"/>
        <v>30</v>
      </c>
      <c r="K135" s="14"/>
      <c r="L135" s="13"/>
      <c r="M135" s="14"/>
      <c r="N135" s="15"/>
    </row>
    <row r="136" ht="46.5" customHeight="1">
      <c r="A136" s="21" t="s">
        <v>151</v>
      </c>
      <c r="B136" s="16" t="s">
        <v>161</v>
      </c>
      <c r="C136" s="10" t="str">
        <f>'Master Tracker'!O136</f>
        <v/>
      </c>
      <c r="D136" s="11">
        <f t="shared" si="1"/>
        <v>1</v>
      </c>
      <c r="E136" s="14"/>
      <c r="F136" s="13">
        <f t="shared" si="2"/>
        <v>7</v>
      </c>
      <c r="G136" s="14"/>
      <c r="H136" s="13">
        <f t="shared" si="3"/>
        <v>15</v>
      </c>
      <c r="I136" s="14"/>
      <c r="J136" s="13">
        <f t="shared" si="4"/>
        <v>30</v>
      </c>
      <c r="K136" s="14"/>
      <c r="L136" s="13"/>
      <c r="M136" s="14"/>
      <c r="N136" s="15"/>
    </row>
    <row r="137" ht="46.5" customHeight="1">
      <c r="A137" s="21" t="s">
        <v>151</v>
      </c>
      <c r="B137" s="16" t="s">
        <v>162</v>
      </c>
      <c r="C137" s="10" t="str">
        <f>'Master Tracker'!O137</f>
        <v/>
      </c>
      <c r="D137" s="11">
        <f t="shared" si="1"/>
        <v>1</v>
      </c>
      <c r="E137" s="14"/>
      <c r="F137" s="13">
        <f t="shared" si="2"/>
        <v>7</v>
      </c>
      <c r="G137" s="14"/>
      <c r="H137" s="13">
        <f t="shared" si="3"/>
        <v>15</v>
      </c>
      <c r="I137" s="14"/>
      <c r="J137" s="13">
        <f t="shared" si="4"/>
        <v>30</v>
      </c>
      <c r="K137" s="14"/>
      <c r="L137" s="13"/>
      <c r="M137" s="14"/>
      <c r="N137" s="15"/>
    </row>
    <row r="138" ht="46.5" customHeight="1">
      <c r="A138" s="21" t="s">
        <v>151</v>
      </c>
      <c r="B138" s="16" t="s">
        <v>163</v>
      </c>
      <c r="C138" s="10" t="str">
        <f>'Master Tracker'!O138</f>
        <v/>
      </c>
      <c r="D138" s="11">
        <f t="shared" si="1"/>
        <v>1</v>
      </c>
      <c r="E138" s="14"/>
      <c r="F138" s="13">
        <f t="shared" si="2"/>
        <v>7</v>
      </c>
      <c r="G138" s="14"/>
      <c r="H138" s="13">
        <f t="shared" si="3"/>
        <v>15</v>
      </c>
      <c r="I138" s="14"/>
      <c r="J138" s="13">
        <f t="shared" si="4"/>
        <v>30</v>
      </c>
      <c r="K138" s="14"/>
      <c r="L138" s="13"/>
      <c r="M138" s="14"/>
      <c r="N138" s="15"/>
    </row>
    <row r="139" ht="46.5" customHeight="1">
      <c r="A139" s="22" t="s">
        <v>164</v>
      </c>
      <c r="B139" s="16" t="s">
        <v>165</v>
      </c>
      <c r="C139" s="10" t="str">
        <f>'Master Tracker'!O139</f>
        <v/>
      </c>
      <c r="D139" s="11">
        <f t="shared" si="1"/>
        <v>1</v>
      </c>
      <c r="E139" s="14"/>
      <c r="F139" s="13">
        <f t="shared" si="2"/>
        <v>7</v>
      </c>
      <c r="G139" s="14"/>
      <c r="H139" s="13">
        <f t="shared" si="3"/>
        <v>15</v>
      </c>
      <c r="I139" s="14"/>
      <c r="J139" s="13">
        <f t="shared" si="4"/>
        <v>30</v>
      </c>
      <c r="K139" s="14"/>
      <c r="L139" s="13"/>
      <c r="M139" s="14"/>
      <c r="N139" s="15"/>
    </row>
    <row r="140" ht="46.5" customHeight="1">
      <c r="A140" s="22" t="s">
        <v>164</v>
      </c>
      <c r="B140" s="16" t="s">
        <v>166</v>
      </c>
      <c r="C140" s="10" t="str">
        <f>'Master Tracker'!O140</f>
        <v/>
      </c>
      <c r="D140" s="11">
        <f t="shared" si="1"/>
        <v>1</v>
      </c>
      <c r="E140" s="14"/>
      <c r="F140" s="13">
        <f t="shared" si="2"/>
        <v>7</v>
      </c>
      <c r="G140" s="14"/>
      <c r="H140" s="13">
        <f t="shared" si="3"/>
        <v>15</v>
      </c>
      <c r="I140" s="14"/>
      <c r="J140" s="13">
        <f t="shared" si="4"/>
        <v>30</v>
      </c>
      <c r="K140" s="14"/>
      <c r="L140" s="13"/>
      <c r="M140" s="14"/>
      <c r="N140" s="15"/>
    </row>
    <row r="141" ht="46.5" customHeight="1">
      <c r="A141" s="22" t="s">
        <v>164</v>
      </c>
      <c r="B141" s="16" t="s">
        <v>167</v>
      </c>
      <c r="C141" s="10" t="str">
        <f>'Master Tracker'!O141</f>
        <v/>
      </c>
      <c r="D141" s="11">
        <f t="shared" si="1"/>
        <v>1</v>
      </c>
      <c r="E141" s="14"/>
      <c r="F141" s="13">
        <f t="shared" si="2"/>
        <v>7</v>
      </c>
      <c r="G141" s="14"/>
      <c r="H141" s="13">
        <f t="shared" si="3"/>
        <v>15</v>
      </c>
      <c r="I141" s="14"/>
      <c r="J141" s="13">
        <f t="shared" si="4"/>
        <v>30</v>
      </c>
      <c r="K141" s="14"/>
      <c r="L141" s="13"/>
      <c r="M141" s="14"/>
      <c r="N141" s="15"/>
    </row>
    <row r="142" ht="46.5" customHeight="1">
      <c r="A142" s="22" t="s">
        <v>164</v>
      </c>
      <c r="B142" s="16" t="s">
        <v>168</v>
      </c>
      <c r="C142" s="10" t="str">
        <f>'Master Tracker'!O142</f>
        <v/>
      </c>
      <c r="D142" s="11">
        <f t="shared" si="1"/>
        <v>1</v>
      </c>
      <c r="E142" s="14"/>
      <c r="F142" s="13">
        <f t="shared" si="2"/>
        <v>7</v>
      </c>
      <c r="G142" s="14"/>
      <c r="H142" s="13">
        <f t="shared" si="3"/>
        <v>15</v>
      </c>
      <c r="I142" s="14"/>
      <c r="J142" s="13">
        <f t="shared" si="4"/>
        <v>30</v>
      </c>
      <c r="K142" s="14"/>
      <c r="L142" s="13"/>
      <c r="M142" s="14"/>
      <c r="N142" s="15"/>
    </row>
    <row r="143" ht="46.5" customHeight="1">
      <c r="A143" s="22" t="s">
        <v>164</v>
      </c>
      <c r="B143" s="16" t="s">
        <v>169</v>
      </c>
      <c r="C143" s="10" t="str">
        <f>'Master Tracker'!O143</f>
        <v/>
      </c>
      <c r="D143" s="11">
        <f t="shared" si="1"/>
        <v>1</v>
      </c>
      <c r="E143" s="14"/>
      <c r="F143" s="13">
        <f t="shared" si="2"/>
        <v>7</v>
      </c>
      <c r="G143" s="14"/>
      <c r="H143" s="13">
        <f t="shared" si="3"/>
        <v>15</v>
      </c>
      <c r="I143" s="14"/>
      <c r="J143" s="13">
        <f t="shared" si="4"/>
        <v>30</v>
      </c>
      <c r="K143" s="14"/>
      <c r="L143" s="13"/>
      <c r="M143" s="14"/>
      <c r="N143" s="15"/>
    </row>
    <row r="144" ht="46.5" customHeight="1">
      <c r="A144" s="22" t="s">
        <v>164</v>
      </c>
      <c r="B144" s="16" t="s">
        <v>170</v>
      </c>
      <c r="C144" s="10" t="str">
        <f>'Master Tracker'!O144</f>
        <v/>
      </c>
      <c r="D144" s="11">
        <f t="shared" si="1"/>
        <v>1</v>
      </c>
      <c r="E144" s="14"/>
      <c r="F144" s="13">
        <f t="shared" si="2"/>
        <v>7</v>
      </c>
      <c r="G144" s="14"/>
      <c r="H144" s="13">
        <f t="shared" si="3"/>
        <v>15</v>
      </c>
      <c r="I144" s="14"/>
      <c r="J144" s="13">
        <f t="shared" si="4"/>
        <v>30</v>
      </c>
      <c r="K144" s="14"/>
      <c r="L144" s="13"/>
      <c r="M144" s="14"/>
      <c r="N144" s="15"/>
    </row>
    <row r="145" ht="46.5" customHeight="1">
      <c r="A145" s="22" t="s">
        <v>164</v>
      </c>
      <c r="B145" s="16" t="s">
        <v>171</v>
      </c>
      <c r="C145" s="10" t="str">
        <f>'Master Tracker'!O145</f>
        <v/>
      </c>
      <c r="D145" s="11">
        <f t="shared" si="1"/>
        <v>1</v>
      </c>
      <c r="E145" s="14"/>
      <c r="F145" s="13">
        <f t="shared" si="2"/>
        <v>7</v>
      </c>
      <c r="G145" s="14"/>
      <c r="H145" s="13">
        <f t="shared" si="3"/>
        <v>15</v>
      </c>
      <c r="I145" s="14"/>
      <c r="J145" s="13">
        <f t="shared" si="4"/>
        <v>30</v>
      </c>
      <c r="K145" s="14"/>
      <c r="L145" s="13"/>
      <c r="M145" s="14"/>
      <c r="N145" s="15"/>
    </row>
    <row r="146" ht="46.5" customHeight="1">
      <c r="A146" s="22" t="s">
        <v>164</v>
      </c>
      <c r="B146" s="16" t="s">
        <v>172</v>
      </c>
      <c r="C146" s="10" t="str">
        <f>'Master Tracker'!O146</f>
        <v/>
      </c>
      <c r="D146" s="11">
        <f t="shared" si="1"/>
        <v>1</v>
      </c>
      <c r="E146" s="14"/>
      <c r="F146" s="13">
        <f t="shared" si="2"/>
        <v>7</v>
      </c>
      <c r="G146" s="14"/>
      <c r="H146" s="13">
        <f t="shared" si="3"/>
        <v>15</v>
      </c>
      <c r="I146" s="14"/>
      <c r="J146" s="13">
        <f t="shared" si="4"/>
        <v>30</v>
      </c>
      <c r="K146" s="14"/>
      <c r="L146" s="13"/>
      <c r="M146" s="14"/>
      <c r="N146" s="15"/>
    </row>
    <row r="147" ht="46.5" customHeight="1">
      <c r="A147" s="22" t="s">
        <v>164</v>
      </c>
      <c r="B147" s="16" t="s">
        <v>173</v>
      </c>
      <c r="C147" s="10" t="str">
        <f>'Master Tracker'!O147</f>
        <v/>
      </c>
      <c r="D147" s="11">
        <f t="shared" si="1"/>
        <v>1</v>
      </c>
      <c r="E147" s="14"/>
      <c r="F147" s="13">
        <f t="shared" si="2"/>
        <v>7</v>
      </c>
      <c r="G147" s="14"/>
      <c r="H147" s="13">
        <f t="shared" si="3"/>
        <v>15</v>
      </c>
      <c r="I147" s="14"/>
      <c r="J147" s="13">
        <f t="shared" si="4"/>
        <v>30</v>
      </c>
      <c r="K147" s="14"/>
      <c r="L147" s="13"/>
      <c r="M147" s="14"/>
      <c r="N147" s="15"/>
    </row>
    <row r="148" ht="46.5" customHeight="1">
      <c r="A148" s="22" t="s">
        <v>174</v>
      </c>
      <c r="B148" s="16" t="s">
        <v>175</v>
      </c>
      <c r="C148" s="10" t="str">
        <f>'Master Tracker'!O148</f>
        <v/>
      </c>
      <c r="D148" s="11">
        <f t="shared" si="1"/>
        <v>1</v>
      </c>
      <c r="E148" s="14"/>
      <c r="F148" s="13">
        <f t="shared" si="2"/>
        <v>7</v>
      </c>
      <c r="G148" s="14"/>
      <c r="H148" s="13">
        <f t="shared" si="3"/>
        <v>15</v>
      </c>
      <c r="I148" s="14"/>
      <c r="J148" s="13">
        <f t="shared" si="4"/>
        <v>30</v>
      </c>
      <c r="K148" s="14"/>
      <c r="L148" s="13"/>
      <c r="M148" s="14"/>
      <c r="N148" s="15"/>
    </row>
    <row r="149" ht="46.5" customHeight="1">
      <c r="A149" s="22" t="s">
        <v>174</v>
      </c>
      <c r="B149" s="16" t="s">
        <v>176</v>
      </c>
      <c r="C149" s="10" t="str">
        <f>'Master Tracker'!O149</f>
        <v/>
      </c>
      <c r="D149" s="11">
        <f t="shared" si="1"/>
        <v>1</v>
      </c>
      <c r="E149" s="14"/>
      <c r="F149" s="13">
        <f t="shared" si="2"/>
        <v>7</v>
      </c>
      <c r="G149" s="14"/>
      <c r="H149" s="13">
        <f t="shared" si="3"/>
        <v>15</v>
      </c>
      <c r="I149" s="14"/>
      <c r="J149" s="13">
        <f t="shared" si="4"/>
        <v>30</v>
      </c>
      <c r="K149" s="14"/>
      <c r="L149" s="13"/>
      <c r="M149" s="14"/>
      <c r="N149" s="15"/>
    </row>
    <row r="150" ht="46.5" customHeight="1">
      <c r="A150" s="22" t="s">
        <v>174</v>
      </c>
      <c r="B150" s="16" t="s">
        <v>177</v>
      </c>
      <c r="C150" s="10" t="str">
        <f>'Master Tracker'!O150</f>
        <v/>
      </c>
      <c r="D150" s="11">
        <f t="shared" si="1"/>
        <v>1</v>
      </c>
      <c r="E150" s="14"/>
      <c r="F150" s="13">
        <f t="shared" si="2"/>
        <v>7</v>
      </c>
      <c r="G150" s="14"/>
      <c r="H150" s="13">
        <f t="shared" si="3"/>
        <v>15</v>
      </c>
      <c r="I150" s="14"/>
      <c r="J150" s="13">
        <f t="shared" si="4"/>
        <v>30</v>
      </c>
      <c r="K150" s="14"/>
      <c r="L150" s="13"/>
      <c r="M150" s="14"/>
      <c r="N150" s="15"/>
    </row>
    <row r="151" ht="46.5" customHeight="1">
      <c r="A151" s="22" t="s">
        <v>174</v>
      </c>
      <c r="B151" s="16" t="s">
        <v>178</v>
      </c>
      <c r="C151" s="10" t="str">
        <f>'Master Tracker'!O151</f>
        <v/>
      </c>
      <c r="D151" s="11">
        <f t="shared" si="1"/>
        <v>1</v>
      </c>
      <c r="E151" s="14"/>
      <c r="F151" s="13">
        <f t="shared" si="2"/>
        <v>7</v>
      </c>
      <c r="G151" s="14"/>
      <c r="H151" s="13">
        <f t="shared" si="3"/>
        <v>15</v>
      </c>
      <c r="I151" s="14"/>
      <c r="J151" s="13">
        <f t="shared" si="4"/>
        <v>30</v>
      </c>
      <c r="K151" s="14"/>
      <c r="L151" s="13"/>
      <c r="M151" s="14"/>
      <c r="N151" s="15"/>
    </row>
    <row r="152" ht="46.5" customHeight="1">
      <c r="A152" s="22" t="s">
        <v>174</v>
      </c>
      <c r="B152" s="16" t="s">
        <v>179</v>
      </c>
      <c r="C152" s="10" t="str">
        <f>'Master Tracker'!O152</f>
        <v/>
      </c>
      <c r="D152" s="11">
        <f t="shared" si="1"/>
        <v>1</v>
      </c>
      <c r="E152" s="14"/>
      <c r="F152" s="13">
        <f t="shared" si="2"/>
        <v>7</v>
      </c>
      <c r="G152" s="14"/>
      <c r="H152" s="13">
        <f t="shared" si="3"/>
        <v>15</v>
      </c>
      <c r="I152" s="14"/>
      <c r="J152" s="13">
        <f t="shared" si="4"/>
        <v>30</v>
      </c>
      <c r="K152" s="14"/>
      <c r="L152" s="13"/>
      <c r="M152" s="14"/>
      <c r="N152" s="15"/>
    </row>
    <row r="153" ht="46.5" customHeight="1">
      <c r="A153" s="22" t="s">
        <v>174</v>
      </c>
      <c r="B153" s="16" t="s">
        <v>180</v>
      </c>
      <c r="C153" s="10" t="str">
        <f>'Master Tracker'!O153</f>
        <v/>
      </c>
      <c r="D153" s="11">
        <f t="shared" si="1"/>
        <v>1</v>
      </c>
      <c r="E153" s="14"/>
      <c r="F153" s="13">
        <f t="shared" si="2"/>
        <v>7</v>
      </c>
      <c r="G153" s="14"/>
      <c r="H153" s="13">
        <f t="shared" si="3"/>
        <v>15</v>
      </c>
      <c r="I153" s="14"/>
      <c r="J153" s="13">
        <f t="shared" si="4"/>
        <v>30</v>
      </c>
      <c r="K153" s="14"/>
      <c r="L153" s="13"/>
      <c r="M153" s="14"/>
      <c r="N153" s="15"/>
    </row>
    <row r="154" ht="46.5" customHeight="1">
      <c r="A154" s="22" t="s">
        <v>174</v>
      </c>
      <c r="B154" s="16" t="s">
        <v>181</v>
      </c>
      <c r="C154" s="10" t="str">
        <f>'Master Tracker'!O154</f>
        <v/>
      </c>
      <c r="D154" s="11">
        <f t="shared" si="1"/>
        <v>1</v>
      </c>
      <c r="E154" s="14"/>
      <c r="F154" s="13">
        <f t="shared" si="2"/>
        <v>7</v>
      </c>
      <c r="G154" s="14"/>
      <c r="H154" s="13">
        <f t="shared" si="3"/>
        <v>15</v>
      </c>
      <c r="I154" s="14"/>
      <c r="J154" s="13">
        <f t="shared" si="4"/>
        <v>30</v>
      </c>
      <c r="K154" s="14"/>
      <c r="L154" s="13"/>
      <c r="M154" s="14"/>
      <c r="N154" s="15"/>
    </row>
    <row r="155" ht="46.5" customHeight="1">
      <c r="A155" s="22" t="s">
        <v>174</v>
      </c>
      <c r="B155" s="16" t="s">
        <v>182</v>
      </c>
      <c r="C155" s="10" t="str">
        <f>'Master Tracker'!O155</f>
        <v/>
      </c>
      <c r="D155" s="11">
        <f t="shared" si="1"/>
        <v>1</v>
      </c>
      <c r="E155" s="14"/>
      <c r="F155" s="13">
        <f t="shared" si="2"/>
        <v>7</v>
      </c>
      <c r="G155" s="14"/>
      <c r="H155" s="13">
        <f t="shared" si="3"/>
        <v>15</v>
      </c>
      <c r="I155" s="14"/>
      <c r="J155" s="13">
        <f t="shared" si="4"/>
        <v>30</v>
      </c>
      <c r="K155" s="14"/>
      <c r="L155" s="13"/>
      <c r="M155" s="14"/>
      <c r="N155" s="15"/>
    </row>
    <row r="156" ht="46.5" customHeight="1">
      <c r="A156" s="22" t="s">
        <v>174</v>
      </c>
      <c r="B156" s="16" t="s">
        <v>183</v>
      </c>
      <c r="C156" s="10" t="str">
        <f>'Master Tracker'!O156</f>
        <v/>
      </c>
      <c r="D156" s="11">
        <f t="shared" si="1"/>
        <v>1</v>
      </c>
      <c r="E156" s="14"/>
      <c r="F156" s="13">
        <f t="shared" si="2"/>
        <v>7</v>
      </c>
      <c r="G156" s="14"/>
      <c r="H156" s="13">
        <f t="shared" si="3"/>
        <v>15</v>
      </c>
      <c r="I156" s="14"/>
      <c r="J156" s="13">
        <f t="shared" si="4"/>
        <v>30</v>
      </c>
      <c r="K156" s="14"/>
      <c r="L156" s="13"/>
      <c r="M156" s="14"/>
      <c r="N156" s="15"/>
    </row>
    <row r="157" ht="46.5" customHeight="1">
      <c r="A157" s="22" t="s">
        <v>174</v>
      </c>
      <c r="B157" s="16" t="s">
        <v>184</v>
      </c>
      <c r="C157" s="10" t="str">
        <f>'Master Tracker'!O157</f>
        <v/>
      </c>
      <c r="D157" s="11">
        <f t="shared" si="1"/>
        <v>1</v>
      </c>
      <c r="E157" s="14"/>
      <c r="F157" s="13">
        <f t="shared" si="2"/>
        <v>7</v>
      </c>
      <c r="G157" s="14"/>
      <c r="H157" s="13">
        <f t="shared" si="3"/>
        <v>15</v>
      </c>
      <c r="I157" s="14"/>
      <c r="J157" s="13">
        <f t="shared" si="4"/>
        <v>30</v>
      </c>
      <c r="K157" s="14"/>
      <c r="L157" s="13"/>
      <c r="M157" s="14"/>
      <c r="N157" s="15"/>
    </row>
    <row r="158" ht="46.5" customHeight="1">
      <c r="A158" s="22" t="s">
        <v>174</v>
      </c>
      <c r="B158" s="16" t="s">
        <v>185</v>
      </c>
      <c r="C158" s="10" t="str">
        <f>'Master Tracker'!O158</f>
        <v/>
      </c>
      <c r="D158" s="11">
        <f t="shared" si="1"/>
        <v>1</v>
      </c>
      <c r="E158" s="14"/>
      <c r="F158" s="13">
        <f t="shared" si="2"/>
        <v>7</v>
      </c>
      <c r="G158" s="14"/>
      <c r="H158" s="13">
        <f t="shared" si="3"/>
        <v>15</v>
      </c>
      <c r="I158" s="14"/>
      <c r="J158" s="13">
        <f t="shared" si="4"/>
        <v>30</v>
      </c>
      <c r="K158" s="14"/>
      <c r="L158" s="13"/>
      <c r="M158" s="14"/>
      <c r="N158" s="15"/>
    </row>
    <row r="159" ht="46.5" customHeight="1">
      <c r="A159" s="19" t="s">
        <v>186</v>
      </c>
      <c r="B159" s="16" t="s">
        <v>187</v>
      </c>
      <c r="C159" s="10" t="str">
        <f>'Master Tracker'!O159</f>
        <v/>
      </c>
      <c r="D159" s="11">
        <f t="shared" si="1"/>
        <v>1</v>
      </c>
      <c r="E159" s="14"/>
      <c r="F159" s="13">
        <f t="shared" si="2"/>
        <v>7</v>
      </c>
      <c r="G159" s="14"/>
      <c r="H159" s="13">
        <f t="shared" si="3"/>
        <v>15</v>
      </c>
      <c r="I159" s="14"/>
      <c r="J159" s="13">
        <f t="shared" si="4"/>
        <v>30</v>
      </c>
      <c r="K159" s="14"/>
      <c r="L159" s="13"/>
      <c r="M159" s="14"/>
      <c r="N159" s="15"/>
    </row>
    <row r="160" ht="46.5" customHeight="1">
      <c r="A160" s="19" t="s">
        <v>186</v>
      </c>
      <c r="B160" s="16" t="s">
        <v>188</v>
      </c>
      <c r="C160" s="10" t="str">
        <f>'Master Tracker'!O160</f>
        <v/>
      </c>
      <c r="D160" s="11">
        <f t="shared" si="1"/>
        <v>1</v>
      </c>
      <c r="E160" s="14"/>
      <c r="F160" s="13">
        <f t="shared" si="2"/>
        <v>7</v>
      </c>
      <c r="G160" s="14"/>
      <c r="H160" s="13">
        <f t="shared" si="3"/>
        <v>15</v>
      </c>
      <c r="I160" s="14"/>
      <c r="J160" s="13">
        <f t="shared" si="4"/>
        <v>30</v>
      </c>
      <c r="K160" s="14"/>
      <c r="L160" s="13"/>
      <c r="M160" s="14"/>
      <c r="N160" s="15"/>
    </row>
    <row r="161" ht="46.5" customHeight="1">
      <c r="A161" s="19" t="s">
        <v>186</v>
      </c>
      <c r="B161" s="16" t="s">
        <v>189</v>
      </c>
      <c r="C161" s="10" t="str">
        <f>'Master Tracker'!O161</f>
        <v/>
      </c>
      <c r="D161" s="11">
        <f t="shared" si="1"/>
        <v>1</v>
      </c>
      <c r="E161" s="14"/>
      <c r="F161" s="13">
        <f t="shared" si="2"/>
        <v>7</v>
      </c>
      <c r="G161" s="14"/>
      <c r="H161" s="13">
        <f t="shared" si="3"/>
        <v>15</v>
      </c>
      <c r="I161" s="14"/>
      <c r="J161" s="13">
        <f t="shared" si="4"/>
        <v>30</v>
      </c>
      <c r="K161" s="14"/>
      <c r="L161" s="13"/>
      <c r="M161" s="14"/>
      <c r="N161" s="15"/>
    </row>
    <row r="162" ht="46.5" customHeight="1">
      <c r="A162" s="19" t="s">
        <v>186</v>
      </c>
      <c r="B162" s="16" t="s">
        <v>190</v>
      </c>
      <c r="C162" s="10" t="str">
        <f>'Master Tracker'!O162</f>
        <v/>
      </c>
      <c r="D162" s="11">
        <f t="shared" si="1"/>
        <v>1</v>
      </c>
      <c r="E162" s="14"/>
      <c r="F162" s="13">
        <f t="shared" si="2"/>
        <v>7</v>
      </c>
      <c r="G162" s="14"/>
      <c r="H162" s="13">
        <f t="shared" si="3"/>
        <v>15</v>
      </c>
      <c r="I162" s="14"/>
      <c r="J162" s="13">
        <f t="shared" si="4"/>
        <v>30</v>
      </c>
      <c r="K162" s="14"/>
      <c r="L162" s="13"/>
      <c r="M162" s="14"/>
      <c r="N162" s="15"/>
    </row>
    <row r="163" ht="46.5" customHeight="1">
      <c r="A163" s="19" t="s">
        <v>186</v>
      </c>
      <c r="B163" s="16" t="s">
        <v>191</v>
      </c>
      <c r="C163" s="10" t="str">
        <f>'Master Tracker'!O163</f>
        <v/>
      </c>
      <c r="D163" s="11">
        <f t="shared" si="1"/>
        <v>1</v>
      </c>
      <c r="E163" s="14"/>
      <c r="F163" s="13">
        <f t="shared" si="2"/>
        <v>7</v>
      </c>
      <c r="G163" s="14"/>
      <c r="H163" s="13">
        <f t="shared" si="3"/>
        <v>15</v>
      </c>
      <c r="I163" s="14"/>
      <c r="J163" s="13">
        <f t="shared" si="4"/>
        <v>30</v>
      </c>
      <c r="K163" s="14"/>
      <c r="L163" s="13"/>
      <c r="M163" s="14"/>
      <c r="N163" s="15"/>
    </row>
    <row r="164" ht="46.5" customHeight="1">
      <c r="A164" s="19" t="s">
        <v>186</v>
      </c>
      <c r="B164" s="16" t="s">
        <v>192</v>
      </c>
      <c r="C164" s="10" t="str">
        <f>'Master Tracker'!O164</f>
        <v/>
      </c>
      <c r="D164" s="11">
        <f t="shared" si="1"/>
        <v>1</v>
      </c>
      <c r="E164" s="14"/>
      <c r="F164" s="13">
        <f t="shared" si="2"/>
        <v>7</v>
      </c>
      <c r="G164" s="14"/>
      <c r="H164" s="13">
        <f t="shared" si="3"/>
        <v>15</v>
      </c>
      <c r="I164" s="14"/>
      <c r="J164" s="13">
        <f t="shared" si="4"/>
        <v>30</v>
      </c>
      <c r="K164" s="14"/>
      <c r="L164" s="13"/>
      <c r="M164" s="14"/>
      <c r="N164" s="15"/>
    </row>
    <row r="165" ht="46.5" customHeight="1">
      <c r="A165" s="19" t="s">
        <v>186</v>
      </c>
      <c r="B165" s="16" t="s">
        <v>193</v>
      </c>
      <c r="C165" s="10" t="str">
        <f>'Master Tracker'!O165</f>
        <v/>
      </c>
      <c r="D165" s="11">
        <f t="shared" si="1"/>
        <v>1</v>
      </c>
      <c r="E165" s="14"/>
      <c r="F165" s="13">
        <f t="shared" si="2"/>
        <v>7</v>
      </c>
      <c r="G165" s="14"/>
      <c r="H165" s="13">
        <f t="shared" si="3"/>
        <v>15</v>
      </c>
      <c r="I165" s="14"/>
      <c r="J165" s="13">
        <f t="shared" si="4"/>
        <v>30</v>
      </c>
      <c r="K165" s="14"/>
      <c r="L165" s="13"/>
      <c r="M165" s="14"/>
      <c r="N165" s="15"/>
    </row>
    <row r="166" ht="46.5" customHeight="1">
      <c r="A166" s="19" t="s">
        <v>186</v>
      </c>
      <c r="B166" s="16" t="s">
        <v>194</v>
      </c>
      <c r="C166" s="10" t="str">
        <f>'Master Tracker'!O166</f>
        <v/>
      </c>
      <c r="D166" s="11">
        <f t="shared" si="1"/>
        <v>1</v>
      </c>
      <c r="E166" s="14"/>
      <c r="F166" s="13">
        <f t="shared" si="2"/>
        <v>7</v>
      </c>
      <c r="G166" s="14"/>
      <c r="H166" s="13">
        <f t="shared" si="3"/>
        <v>15</v>
      </c>
      <c r="I166" s="14"/>
      <c r="J166" s="13">
        <f t="shared" si="4"/>
        <v>30</v>
      </c>
      <c r="K166" s="14"/>
      <c r="L166" s="13"/>
      <c r="M166" s="14"/>
      <c r="N166" s="15"/>
    </row>
    <row r="167" ht="46.5" customHeight="1">
      <c r="A167" s="19" t="s">
        <v>186</v>
      </c>
      <c r="B167" s="16" t="s">
        <v>195</v>
      </c>
      <c r="C167" s="10" t="str">
        <f>'Master Tracker'!O167</f>
        <v/>
      </c>
      <c r="D167" s="11">
        <f t="shared" si="1"/>
        <v>1</v>
      </c>
      <c r="E167" s="14"/>
      <c r="F167" s="13">
        <f t="shared" si="2"/>
        <v>7</v>
      </c>
      <c r="G167" s="14"/>
      <c r="H167" s="13">
        <f t="shared" si="3"/>
        <v>15</v>
      </c>
      <c r="I167" s="14"/>
      <c r="J167" s="13">
        <f t="shared" si="4"/>
        <v>30</v>
      </c>
      <c r="K167" s="14"/>
      <c r="L167" s="13"/>
      <c r="M167" s="14"/>
      <c r="N167" s="15"/>
    </row>
    <row r="168" ht="46.5" customHeight="1">
      <c r="A168" s="19" t="s">
        <v>186</v>
      </c>
      <c r="B168" s="16" t="s">
        <v>196</v>
      </c>
      <c r="C168" s="10" t="str">
        <f>'Master Tracker'!O168</f>
        <v/>
      </c>
      <c r="D168" s="11">
        <f t="shared" si="1"/>
        <v>1</v>
      </c>
      <c r="E168" s="14"/>
      <c r="F168" s="13">
        <f t="shared" si="2"/>
        <v>7</v>
      </c>
      <c r="G168" s="14"/>
      <c r="H168" s="13">
        <f t="shared" si="3"/>
        <v>15</v>
      </c>
      <c r="I168" s="14"/>
      <c r="J168" s="13">
        <f t="shared" si="4"/>
        <v>30</v>
      </c>
      <c r="K168" s="14"/>
      <c r="L168" s="13"/>
      <c r="M168" s="14"/>
      <c r="N168" s="15"/>
    </row>
    <row r="169" ht="46.5" customHeight="1">
      <c r="A169" s="19" t="s">
        <v>186</v>
      </c>
      <c r="B169" s="16" t="s">
        <v>197</v>
      </c>
      <c r="C169" s="10" t="str">
        <f>'Master Tracker'!O169</f>
        <v/>
      </c>
      <c r="D169" s="11">
        <f t="shared" si="1"/>
        <v>1</v>
      </c>
      <c r="E169" s="14"/>
      <c r="F169" s="13">
        <f t="shared" si="2"/>
        <v>7</v>
      </c>
      <c r="G169" s="14"/>
      <c r="H169" s="13">
        <f t="shared" si="3"/>
        <v>15</v>
      </c>
      <c r="I169" s="14"/>
      <c r="J169" s="13">
        <f t="shared" si="4"/>
        <v>30</v>
      </c>
      <c r="K169" s="14"/>
      <c r="L169" s="13"/>
      <c r="M169" s="14"/>
      <c r="N169" s="15"/>
    </row>
    <row r="170" ht="46.5" customHeight="1">
      <c r="A170" s="19" t="s">
        <v>186</v>
      </c>
      <c r="B170" s="16" t="s">
        <v>198</v>
      </c>
      <c r="C170" s="10" t="str">
        <f>'Master Tracker'!O170</f>
        <v/>
      </c>
      <c r="D170" s="11">
        <f t="shared" si="1"/>
        <v>1</v>
      </c>
      <c r="E170" s="14"/>
      <c r="F170" s="13">
        <f t="shared" si="2"/>
        <v>7</v>
      </c>
      <c r="G170" s="14"/>
      <c r="H170" s="13">
        <f t="shared" si="3"/>
        <v>15</v>
      </c>
      <c r="I170" s="14"/>
      <c r="J170" s="13">
        <f t="shared" si="4"/>
        <v>30</v>
      </c>
      <c r="K170" s="14"/>
      <c r="L170" s="13"/>
      <c r="M170" s="14"/>
      <c r="N170" s="15"/>
    </row>
    <row r="171" ht="46.5" customHeight="1">
      <c r="A171" s="19" t="s">
        <v>186</v>
      </c>
      <c r="B171" s="16" t="s">
        <v>199</v>
      </c>
      <c r="C171" s="10" t="str">
        <f>'Master Tracker'!O171</f>
        <v/>
      </c>
      <c r="D171" s="11">
        <f t="shared" si="1"/>
        <v>1</v>
      </c>
      <c r="E171" s="14"/>
      <c r="F171" s="13">
        <f t="shared" si="2"/>
        <v>7</v>
      </c>
      <c r="G171" s="14"/>
      <c r="H171" s="13">
        <f t="shared" si="3"/>
        <v>15</v>
      </c>
      <c r="I171" s="14"/>
      <c r="J171" s="13">
        <f t="shared" si="4"/>
        <v>30</v>
      </c>
      <c r="K171" s="14"/>
      <c r="L171" s="13"/>
      <c r="M171" s="14"/>
      <c r="N171" s="15"/>
    </row>
    <row r="172" ht="46.5" customHeight="1">
      <c r="A172" s="19" t="s">
        <v>186</v>
      </c>
      <c r="B172" s="16" t="s">
        <v>200</v>
      </c>
      <c r="C172" s="10" t="str">
        <f>'Master Tracker'!O172</f>
        <v/>
      </c>
      <c r="D172" s="11">
        <f t="shared" si="1"/>
        <v>1</v>
      </c>
      <c r="E172" s="14"/>
      <c r="F172" s="13">
        <f t="shared" si="2"/>
        <v>7</v>
      </c>
      <c r="G172" s="14"/>
      <c r="H172" s="13">
        <f t="shared" si="3"/>
        <v>15</v>
      </c>
      <c r="I172" s="14"/>
      <c r="J172" s="13">
        <f t="shared" si="4"/>
        <v>30</v>
      </c>
      <c r="K172" s="14"/>
      <c r="L172" s="13"/>
      <c r="M172" s="14"/>
      <c r="N172" s="15"/>
    </row>
    <row r="173" ht="46.5" customHeight="1">
      <c r="A173" s="19" t="s">
        <v>186</v>
      </c>
      <c r="B173" s="16" t="s">
        <v>201</v>
      </c>
      <c r="C173" s="10" t="str">
        <f>'Master Tracker'!O173</f>
        <v/>
      </c>
      <c r="D173" s="11">
        <f t="shared" si="1"/>
        <v>1</v>
      </c>
      <c r="E173" s="14"/>
      <c r="F173" s="13">
        <f t="shared" si="2"/>
        <v>7</v>
      </c>
      <c r="G173" s="14"/>
      <c r="H173" s="13">
        <f t="shared" si="3"/>
        <v>15</v>
      </c>
      <c r="I173" s="14"/>
      <c r="J173" s="13">
        <f t="shared" si="4"/>
        <v>30</v>
      </c>
      <c r="K173" s="14"/>
      <c r="L173" s="13"/>
      <c r="M173" s="14"/>
      <c r="N173" s="15"/>
    </row>
    <row r="174" ht="46.5" customHeight="1">
      <c r="A174" s="19" t="s">
        <v>186</v>
      </c>
      <c r="B174" s="16" t="s">
        <v>202</v>
      </c>
      <c r="C174" s="10" t="str">
        <f>'Master Tracker'!O174</f>
        <v/>
      </c>
      <c r="D174" s="11">
        <f t="shared" si="1"/>
        <v>1</v>
      </c>
      <c r="E174" s="14"/>
      <c r="F174" s="13">
        <f t="shared" si="2"/>
        <v>7</v>
      </c>
      <c r="G174" s="14"/>
      <c r="H174" s="13">
        <f t="shared" si="3"/>
        <v>15</v>
      </c>
      <c r="I174" s="14"/>
      <c r="J174" s="13">
        <f t="shared" si="4"/>
        <v>30</v>
      </c>
      <c r="K174" s="14"/>
      <c r="L174" s="13"/>
      <c r="M174" s="14"/>
      <c r="N174" s="15"/>
    </row>
    <row r="175" ht="46.5" customHeight="1">
      <c r="A175" s="19" t="s">
        <v>203</v>
      </c>
      <c r="B175" s="23"/>
      <c r="C175" s="10" t="str">
        <f>'Master Tracker'!O175</f>
        <v/>
      </c>
      <c r="D175" s="11">
        <f t="shared" si="1"/>
        <v>1</v>
      </c>
      <c r="E175" s="14"/>
      <c r="F175" s="13">
        <f t="shared" si="2"/>
        <v>7</v>
      </c>
      <c r="G175" s="14"/>
      <c r="H175" s="13">
        <f t="shared" si="3"/>
        <v>15</v>
      </c>
      <c r="I175" s="14"/>
      <c r="J175" s="13">
        <f t="shared" si="4"/>
        <v>30</v>
      </c>
      <c r="K175" s="14"/>
      <c r="L175" s="13"/>
      <c r="M175" s="14"/>
      <c r="N175" s="15"/>
    </row>
    <row r="176" ht="46.5" customHeight="1">
      <c r="A176" s="19" t="s">
        <v>204</v>
      </c>
      <c r="B176" s="16" t="s">
        <v>205</v>
      </c>
      <c r="C176" s="10" t="str">
        <f>'Master Tracker'!O176</f>
        <v/>
      </c>
      <c r="D176" s="11">
        <f t="shared" si="1"/>
        <v>1</v>
      </c>
      <c r="E176" s="14"/>
      <c r="F176" s="13">
        <f t="shared" si="2"/>
        <v>7</v>
      </c>
      <c r="G176" s="14"/>
      <c r="H176" s="13">
        <f t="shared" si="3"/>
        <v>15</v>
      </c>
      <c r="I176" s="14"/>
      <c r="J176" s="13">
        <f t="shared" si="4"/>
        <v>30</v>
      </c>
      <c r="K176" s="14"/>
      <c r="L176" s="13"/>
      <c r="M176" s="14"/>
      <c r="N176" s="15"/>
    </row>
    <row r="177" ht="46.5" customHeight="1">
      <c r="A177" s="19" t="s">
        <v>204</v>
      </c>
      <c r="B177" s="16" t="s">
        <v>206</v>
      </c>
      <c r="C177" s="10" t="str">
        <f>'Master Tracker'!O177</f>
        <v/>
      </c>
      <c r="D177" s="11">
        <f t="shared" si="1"/>
        <v>1</v>
      </c>
      <c r="E177" s="14"/>
      <c r="F177" s="13">
        <f t="shared" si="2"/>
        <v>7</v>
      </c>
      <c r="G177" s="14"/>
      <c r="H177" s="13">
        <f t="shared" si="3"/>
        <v>15</v>
      </c>
      <c r="I177" s="14"/>
      <c r="J177" s="13">
        <f t="shared" si="4"/>
        <v>30</v>
      </c>
      <c r="K177" s="14"/>
      <c r="L177" s="13"/>
      <c r="M177" s="14"/>
      <c r="N177" s="15"/>
    </row>
    <row r="178" ht="46.5" customHeight="1">
      <c r="A178" s="19" t="s">
        <v>204</v>
      </c>
      <c r="B178" s="16" t="s">
        <v>207</v>
      </c>
      <c r="C178" s="10" t="str">
        <f>'Master Tracker'!O178</f>
        <v/>
      </c>
      <c r="D178" s="11">
        <f t="shared" si="1"/>
        <v>1</v>
      </c>
      <c r="E178" s="14"/>
      <c r="F178" s="13">
        <f t="shared" si="2"/>
        <v>7</v>
      </c>
      <c r="G178" s="14"/>
      <c r="H178" s="13">
        <f t="shared" si="3"/>
        <v>15</v>
      </c>
      <c r="I178" s="14"/>
      <c r="J178" s="13">
        <f t="shared" si="4"/>
        <v>30</v>
      </c>
      <c r="K178" s="14"/>
      <c r="L178" s="13"/>
      <c r="M178" s="14"/>
      <c r="N178" s="15"/>
    </row>
    <row r="179" ht="46.5" customHeight="1">
      <c r="A179" s="19" t="s">
        <v>204</v>
      </c>
      <c r="B179" s="16" t="s">
        <v>208</v>
      </c>
      <c r="C179" s="10" t="str">
        <f>'Master Tracker'!O179</f>
        <v/>
      </c>
      <c r="D179" s="11">
        <f t="shared" si="1"/>
        <v>1</v>
      </c>
      <c r="E179" s="14"/>
      <c r="F179" s="13">
        <f t="shared" si="2"/>
        <v>7</v>
      </c>
      <c r="G179" s="14"/>
      <c r="H179" s="13">
        <f t="shared" si="3"/>
        <v>15</v>
      </c>
      <c r="I179" s="14"/>
      <c r="J179" s="13">
        <f t="shared" si="4"/>
        <v>30</v>
      </c>
      <c r="K179" s="14"/>
      <c r="L179" s="13"/>
      <c r="M179" s="14"/>
      <c r="N179" s="15"/>
    </row>
    <row r="180" ht="46.5" customHeight="1">
      <c r="A180" s="19" t="s">
        <v>204</v>
      </c>
      <c r="B180" s="16" t="s">
        <v>209</v>
      </c>
      <c r="C180" s="10" t="str">
        <f>'Master Tracker'!O180</f>
        <v/>
      </c>
      <c r="D180" s="11">
        <f t="shared" si="1"/>
        <v>1</v>
      </c>
      <c r="E180" s="14"/>
      <c r="F180" s="13">
        <f t="shared" si="2"/>
        <v>7</v>
      </c>
      <c r="G180" s="14"/>
      <c r="H180" s="13">
        <f t="shared" si="3"/>
        <v>15</v>
      </c>
      <c r="I180" s="14"/>
      <c r="J180" s="13">
        <f t="shared" si="4"/>
        <v>30</v>
      </c>
      <c r="K180" s="14"/>
      <c r="L180" s="13"/>
      <c r="M180" s="14"/>
      <c r="N180" s="15"/>
    </row>
    <row r="181" ht="46.5" customHeight="1">
      <c r="A181" s="19" t="s">
        <v>204</v>
      </c>
      <c r="B181" s="16" t="s">
        <v>210</v>
      </c>
      <c r="C181" s="10" t="str">
        <f>'Master Tracker'!O181</f>
        <v/>
      </c>
      <c r="D181" s="11">
        <f t="shared" si="1"/>
        <v>1</v>
      </c>
      <c r="E181" s="14"/>
      <c r="F181" s="13">
        <f t="shared" si="2"/>
        <v>7</v>
      </c>
      <c r="G181" s="14"/>
      <c r="H181" s="13">
        <f t="shared" si="3"/>
        <v>15</v>
      </c>
      <c r="I181" s="14"/>
      <c r="J181" s="13">
        <f t="shared" si="4"/>
        <v>30</v>
      </c>
      <c r="K181" s="14"/>
      <c r="L181" s="13"/>
      <c r="M181" s="14"/>
      <c r="N181" s="15"/>
    </row>
    <row r="182" ht="46.5" customHeight="1">
      <c r="A182" s="19" t="s">
        <v>204</v>
      </c>
      <c r="B182" s="16" t="s">
        <v>211</v>
      </c>
      <c r="C182" s="10" t="str">
        <f>'Master Tracker'!O182</f>
        <v/>
      </c>
      <c r="D182" s="11">
        <f t="shared" si="1"/>
        <v>1</v>
      </c>
      <c r="E182" s="14"/>
      <c r="F182" s="13">
        <f t="shared" si="2"/>
        <v>7</v>
      </c>
      <c r="G182" s="14"/>
      <c r="H182" s="13">
        <f t="shared" si="3"/>
        <v>15</v>
      </c>
      <c r="I182" s="14"/>
      <c r="J182" s="13">
        <f t="shared" si="4"/>
        <v>30</v>
      </c>
      <c r="K182" s="14"/>
      <c r="L182" s="13"/>
      <c r="M182" s="14"/>
      <c r="N182" s="15"/>
    </row>
    <row r="183" ht="46.5" customHeight="1">
      <c r="A183" s="19" t="s">
        <v>204</v>
      </c>
      <c r="B183" s="16" t="s">
        <v>212</v>
      </c>
      <c r="C183" s="10" t="str">
        <f>'Master Tracker'!O183</f>
        <v/>
      </c>
      <c r="D183" s="11">
        <f t="shared" si="1"/>
        <v>1</v>
      </c>
      <c r="E183" s="14"/>
      <c r="F183" s="13">
        <f t="shared" si="2"/>
        <v>7</v>
      </c>
      <c r="G183" s="14"/>
      <c r="H183" s="13">
        <f t="shared" si="3"/>
        <v>15</v>
      </c>
      <c r="I183" s="14"/>
      <c r="J183" s="13">
        <f t="shared" si="4"/>
        <v>30</v>
      </c>
      <c r="K183" s="14"/>
      <c r="L183" s="13"/>
      <c r="M183" s="14"/>
      <c r="N183" s="15"/>
    </row>
    <row r="184" ht="46.5" customHeight="1">
      <c r="A184" s="24" t="s">
        <v>213</v>
      </c>
      <c r="B184" s="16" t="s">
        <v>214</v>
      </c>
      <c r="C184" s="10" t="str">
        <f>'Master Tracker'!O184</f>
        <v/>
      </c>
      <c r="D184" s="11">
        <f t="shared" si="1"/>
        <v>1</v>
      </c>
      <c r="E184" s="14"/>
      <c r="F184" s="13">
        <f t="shared" si="2"/>
        <v>7</v>
      </c>
      <c r="G184" s="14"/>
      <c r="H184" s="13">
        <f t="shared" si="3"/>
        <v>15</v>
      </c>
      <c r="I184" s="14"/>
      <c r="J184" s="13">
        <f t="shared" si="4"/>
        <v>30</v>
      </c>
      <c r="K184" s="14"/>
      <c r="L184" s="13"/>
      <c r="M184" s="14"/>
      <c r="N184" s="15"/>
    </row>
    <row r="185" ht="46.5" customHeight="1">
      <c r="A185" s="24" t="s">
        <v>213</v>
      </c>
      <c r="B185" s="16" t="s">
        <v>215</v>
      </c>
      <c r="C185" s="10" t="str">
        <f>'Master Tracker'!O185</f>
        <v/>
      </c>
      <c r="D185" s="11">
        <f t="shared" si="1"/>
        <v>1</v>
      </c>
      <c r="E185" s="14"/>
      <c r="F185" s="13">
        <f t="shared" si="2"/>
        <v>7</v>
      </c>
      <c r="G185" s="14"/>
      <c r="H185" s="13">
        <f t="shared" si="3"/>
        <v>15</v>
      </c>
      <c r="I185" s="14"/>
      <c r="J185" s="13">
        <f t="shared" si="4"/>
        <v>30</v>
      </c>
      <c r="K185" s="14"/>
      <c r="L185" s="13"/>
      <c r="M185" s="14"/>
      <c r="N185" s="15"/>
    </row>
    <row r="186" ht="46.5" customHeight="1">
      <c r="A186" s="24" t="s">
        <v>213</v>
      </c>
      <c r="B186" s="16" t="s">
        <v>216</v>
      </c>
      <c r="C186" s="10" t="str">
        <f>'Master Tracker'!O186</f>
        <v/>
      </c>
      <c r="D186" s="11">
        <f t="shared" si="1"/>
        <v>1</v>
      </c>
      <c r="E186" s="14"/>
      <c r="F186" s="13">
        <f t="shared" si="2"/>
        <v>7</v>
      </c>
      <c r="G186" s="14"/>
      <c r="H186" s="13">
        <f t="shared" si="3"/>
        <v>15</v>
      </c>
      <c r="I186" s="14"/>
      <c r="J186" s="13">
        <f t="shared" si="4"/>
        <v>30</v>
      </c>
      <c r="K186" s="14"/>
      <c r="L186" s="13"/>
      <c r="M186" s="14"/>
      <c r="N186" s="15"/>
    </row>
    <row r="187" ht="46.5" customHeight="1">
      <c r="A187" s="24" t="s">
        <v>213</v>
      </c>
      <c r="B187" s="16" t="s">
        <v>217</v>
      </c>
      <c r="C187" s="10" t="str">
        <f>'Master Tracker'!O187</f>
        <v/>
      </c>
      <c r="D187" s="11">
        <f t="shared" si="1"/>
        <v>1</v>
      </c>
      <c r="E187" s="14"/>
      <c r="F187" s="13">
        <f t="shared" si="2"/>
        <v>7</v>
      </c>
      <c r="G187" s="14"/>
      <c r="H187" s="13">
        <f t="shared" si="3"/>
        <v>15</v>
      </c>
      <c r="I187" s="14"/>
      <c r="J187" s="13">
        <f t="shared" si="4"/>
        <v>30</v>
      </c>
      <c r="K187" s="14"/>
      <c r="L187" s="13"/>
      <c r="M187" s="14"/>
      <c r="N187" s="15"/>
    </row>
    <row r="188" ht="46.5" customHeight="1">
      <c r="A188" s="24" t="s">
        <v>213</v>
      </c>
      <c r="B188" s="16" t="s">
        <v>218</v>
      </c>
      <c r="C188" s="10" t="str">
        <f>'Master Tracker'!O188</f>
        <v/>
      </c>
      <c r="D188" s="11">
        <f t="shared" si="1"/>
        <v>1</v>
      </c>
      <c r="E188" s="14"/>
      <c r="F188" s="13">
        <f t="shared" si="2"/>
        <v>7</v>
      </c>
      <c r="G188" s="14"/>
      <c r="H188" s="13">
        <f t="shared" si="3"/>
        <v>15</v>
      </c>
      <c r="I188" s="14"/>
      <c r="J188" s="13">
        <f t="shared" si="4"/>
        <v>30</v>
      </c>
      <c r="K188" s="14"/>
      <c r="L188" s="13"/>
      <c r="M188" s="14"/>
      <c r="N188" s="15"/>
    </row>
    <row r="189" ht="46.5" customHeight="1">
      <c r="A189" s="24" t="s">
        <v>213</v>
      </c>
      <c r="B189" s="16" t="s">
        <v>219</v>
      </c>
      <c r="C189" s="10" t="str">
        <f>'Master Tracker'!O189</f>
        <v/>
      </c>
      <c r="D189" s="11">
        <f t="shared" si="1"/>
        <v>1</v>
      </c>
      <c r="E189" s="14"/>
      <c r="F189" s="13">
        <f t="shared" si="2"/>
        <v>7</v>
      </c>
      <c r="G189" s="14"/>
      <c r="H189" s="13">
        <f t="shared" si="3"/>
        <v>15</v>
      </c>
      <c r="I189" s="14"/>
      <c r="J189" s="13">
        <f t="shared" si="4"/>
        <v>30</v>
      </c>
      <c r="K189" s="14"/>
      <c r="L189" s="13"/>
      <c r="M189" s="14"/>
      <c r="N189" s="15"/>
    </row>
    <row r="190" ht="46.5" customHeight="1">
      <c r="A190" s="24" t="s">
        <v>213</v>
      </c>
      <c r="B190" s="16" t="s">
        <v>220</v>
      </c>
      <c r="C190" s="10" t="str">
        <f>'Master Tracker'!O190</f>
        <v/>
      </c>
      <c r="D190" s="11">
        <f t="shared" si="1"/>
        <v>1</v>
      </c>
      <c r="E190" s="14"/>
      <c r="F190" s="13">
        <f t="shared" si="2"/>
        <v>7</v>
      </c>
      <c r="G190" s="14"/>
      <c r="H190" s="13">
        <f t="shared" si="3"/>
        <v>15</v>
      </c>
      <c r="I190" s="14"/>
      <c r="J190" s="13">
        <f t="shared" si="4"/>
        <v>30</v>
      </c>
      <c r="K190" s="14"/>
      <c r="L190" s="13"/>
      <c r="M190" s="14"/>
      <c r="N190" s="15"/>
    </row>
    <row r="191" ht="46.5" customHeight="1">
      <c r="A191" s="24" t="s">
        <v>213</v>
      </c>
      <c r="B191" s="16" t="s">
        <v>221</v>
      </c>
      <c r="C191" s="10" t="str">
        <f>'Master Tracker'!O191</f>
        <v/>
      </c>
      <c r="D191" s="11">
        <f t="shared" si="1"/>
        <v>1</v>
      </c>
      <c r="E191" s="14"/>
      <c r="F191" s="13">
        <f t="shared" si="2"/>
        <v>7</v>
      </c>
      <c r="G191" s="14"/>
      <c r="H191" s="13">
        <f t="shared" si="3"/>
        <v>15</v>
      </c>
      <c r="I191" s="14"/>
      <c r="J191" s="13">
        <f t="shared" si="4"/>
        <v>30</v>
      </c>
      <c r="K191" s="14"/>
      <c r="L191" s="13"/>
      <c r="M191" s="14"/>
      <c r="N191" s="15"/>
    </row>
    <row r="192" ht="46.5" customHeight="1">
      <c r="A192" s="24" t="s">
        <v>213</v>
      </c>
      <c r="B192" s="16" t="s">
        <v>222</v>
      </c>
      <c r="C192" s="10" t="str">
        <f>'Master Tracker'!O192</f>
        <v/>
      </c>
      <c r="D192" s="11">
        <f t="shared" si="1"/>
        <v>1</v>
      </c>
      <c r="E192" s="14"/>
      <c r="F192" s="13">
        <f t="shared" si="2"/>
        <v>7</v>
      </c>
      <c r="G192" s="14"/>
      <c r="H192" s="13">
        <f t="shared" si="3"/>
        <v>15</v>
      </c>
      <c r="I192" s="14"/>
      <c r="J192" s="13">
        <f t="shared" si="4"/>
        <v>30</v>
      </c>
      <c r="K192" s="14"/>
      <c r="L192" s="13"/>
      <c r="M192" s="14"/>
      <c r="N192" s="15"/>
    </row>
    <row r="193" ht="46.5" customHeight="1">
      <c r="A193" s="24" t="s">
        <v>213</v>
      </c>
      <c r="B193" s="16" t="s">
        <v>223</v>
      </c>
      <c r="C193" s="10" t="str">
        <f>'Master Tracker'!O193</f>
        <v/>
      </c>
      <c r="D193" s="11">
        <f t="shared" si="1"/>
        <v>1</v>
      </c>
      <c r="E193" s="14"/>
      <c r="F193" s="13">
        <f t="shared" si="2"/>
        <v>7</v>
      </c>
      <c r="G193" s="14"/>
      <c r="H193" s="13">
        <f t="shared" si="3"/>
        <v>15</v>
      </c>
      <c r="I193" s="14"/>
      <c r="J193" s="13">
        <f t="shared" si="4"/>
        <v>30</v>
      </c>
      <c r="K193" s="14"/>
      <c r="L193" s="13"/>
      <c r="M193" s="14"/>
      <c r="N193" s="15"/>
    </row>
    <row r="194" ht="46.5" customHeight="1">
      <c r="A194" s="24" t="s">
        <v>213</v>
      </c>
      <c r="B194" s="16" t="s">
        <v>224</v>
      </c>
      <c r="C194" s="10" t="str">
        <f>'Master Tracker'!O194</f>
        <v/>
      </c>
      <c r="D194" s="11">
        <f t="shared" si="1"/>
        <v>1</v>
      </c>
      <c r="E194" s="14"/>
      <c r="F194" s="13">
        <f t="shared" si="2"/>
        <v>7</v>
      </c>
      <c r="G194" s="14"/>
      <c r="H194" s="13">
        <f t="shared" si="3"/>
        <v>15</v>
      </c>
      <c r="I194" s="14"/>
      <c r="J194" s="13">
        <f t="shared" si="4"/>
        <v>30</v>
      </c>
      <c r="K194" s="14"/>
      <c r="L194" s="13"/>
      <c r="M194" s="14"/>
      <c r="N194" s="15"/>
    </row>
    <row r="195" ht="46.5" customHeight="1">
      <c r="A195" s="24" t="s">
        <v>213</v>
      </c>
      <c r="B195" s="16" t="s">
        <v>225</v>
      </c>
      <c r="C195" s="10" t="str">
        <f>'Master Tracker'!O195</f>
        <v/>
      </c>
      <c r="D195" s="11">
        <f t="shared" si="1"/>
        <v>1</v>
      </c>
      <c r="E195" s="14"/>
      <c r="F195" s="13">
        <f t="shared" si="2"/>
        <v>7</v>
      </c>
      <c r="G195" s="14"/>
      <c r="H195" s="13">
        <f t="shared" si="3"/>
        <v>15</v>
      </c>
      <c r="I195" s="14"/>
      <c r="J195" s="13">
        <f t="shared" si="4"/>
        <v>30</v>
      </c>
      <c r="K195" s="14"/>
      <c r="L195" s="13"/>
      <c r="M195" s="14"/>
      <c r="N195" s="15"/>
    </row>
    <row r="196" ht="46.5" customHeight="1">
      <c r="A196" s="24" t="s">
        <v>226</v>
      </c>
      <c r="B196" s="16" t="s">
        <v>227</v>
      </c>
      <c r="C196" s="10" t="str">
        <f>'Master Tracker'!O196</f>
        <v/>
      </c>
      <c r="D196" s="11">
        <f t="shared" si="1"/>
        <v>1</v>
      </c>
      <c r="E196" s="14"/>
      <c r="F196" s="13">
        <f t="shared" si="2"/>
        <v>7</v>
      </c>
      <c r="G196" s="14"/>
      <c r="H196" s="13">
        <f t="shared" si="3"/>
        <v>15</v>
      </c>
      <c r="I196" s="14"/>
      <c r="J196" s="13">
        <f t="shared" si="4"/>
        <v>30</v>
      </c>
      <c r="K196" s="14"/>
      <c r="L196" s="13"/>
      <c r="M196" s="14"/>
      <c r="N196" s="15"/>
    </row>
    <row r="197" ht="46.5" customHeight="1">
      <c r="A197" s="24" t="s">
        <v>226</v>
      </c>
      <c r="B197" s="16" t="s">
        <v>228</v>
      </c>
      <c r="C197" s="10" t="str">
        <f>'Master Tracker'!O197</f>
        <v/>
      </c>
      <c r="D197" s="11">
        <f t="shared" si="1"/>
        <v>1</v>
      </c>
      <c r="E197" s="14"/>
      <c r="F197" s="13">
        <f t="shared" si="2"/>
        <v>7</v>
      </c>
      <c r="G197" s="14"/>
      <c r="H197" s="13">
        <f t="shared" si="3"/>
        <v>15</v>
      </c>
      <c r="I197" s="14"/>
      <c r="J197" s="13">
        <f t="shared" si="4"/>
        <v>30</v>
      </c>
      <c r="K197" s="14"/>
      <c r="L197" s="13"/>
      <c r="M197" s="14"/>
      <c r="N197" s="15"/>
    </row>
    <row r="198" ht="46.5" customHeight="1">
      <c r="A198" s="24" t="s">
        <v>226</v>
      </c>
      <c r="B198" s="16" t="s">
        <v>229</v>
      </c>
      <c r="C198" s="10" t="str">
        <f>'Master Tracker'!O198</f>
        <v/>
      </c>
      <c r="D198" s="11">
        <f t="shared" si="1"/>
        <v>1</v>
      </c>
      <c r="E198" s="14"/>
      <c r="F198" s="13">
        <f t="shared" si="2"/>
        <v>7</v>
      </c>
      <c r="G198" s="14"/>
      <c r="H198" s="13">
        <f t="shared" si="3"/>
        <v>15</v>
      </c>
      <c r="I198" s="14"/>
      <c r="J198" s="13">
        <f t="shared" si="4"/>
        <v>30</v>
      </c>
      <c r="K198" s="14"/>
      <c r="L198" s="13"/>
      <c r="M198" s="14"/>
      <c r="N198" s="15"/>
    </row>
    <row r="199" ht="46.5" customHeight="1">
      <c r="A199" s="24" t="s">
        <v>226</v>
      </c>
      <c r="B199" s="16" t="s">
        <v>230</v>
      </c>
      <c r="C199" s="10" t="str">
        <f>'Master Tracker'!O199</f>
        <v/>
      </c>
      <c r="D199" s="11">
        <f t="shared" si="1"/>
        <v>1</v>
      </c>
      <c r="E199" s="14"/>
      <c r="F199" s="13">
        <f t="shared" si="2"/>
        <v>7</v>
      </c>
      <c r="G199" s="14"/>
      <c r="H199" s="13">
        <f t="shared" si="3"/>
        <v>15</v>
      </c>
      <c r="I199" s="14"/>
      <c r="J199" s="13">
        <f t="shared" si="4"/>
        <v>30</v>
      </c>
      <c r="K199" s="14"/>
      <c r="L199" s="13"/>
      <c r="M199" s="14"/>
      <c r="N199" s="15"/>
    </row>
    <row r="200" ht="46.5" customHeight="1">
      <c r="A200" s="24" t="s">
        <v>226</v>
      </c>
      <c r="B200" s="16" t="s">
        <v>231</v>
      </c>
      <c r="C200" s="10" t="str">
        <f>'Master Tracker'!O200</f>
        <v/>
      </c>
      <c r="D200" s="11">
        <f t="shared" si="1"/>
        <v>1</v>
      </c>
      <c r="E200" s="14"/>
      <c r="F200" s="13">
        <f t="shared" si="2"/>
        <v>7</v>
      </c>
      <c r="G200" s="14"/>
      <c r="H200" s="13">
        <f t="shared" si="3"/>
        <v>15</v>
      </c>
      <c r="I200" s="14"/>
      <c r="J200" s="13">
        <f t="shared" si="4"/>
        <v>30</v>
      </c>
      <c r="K200" s="14"/>
      <c r="L200" s="13"/>
      <c r="M200" s="14"/>
      <c r="N200" s="15"/>
    </row>
    <row r="201" ht="46.5" customHeight="1">
      <c r="A201" s="24" t="s">
        <v>226</v>
      </c>
      <c r="B201" s="16" t="s">
        <v>232</v>
      </c>
      <c r="C201" s="10" t="str">
        <f>'Master Tracker'!O201</f>
        <v/>
      </c>
      <c r="D201" s="11">
        <f t="shared" si="1"/>
        <v>1</v>
      </c>
      <c r="E201" s="14"/>
      <c r="F201" s="13">
        <f t="shared" si="2"/>
        <v>7</v>
      </c>
      <c r="G201" s="14"/>
      <c r="H201" s="13">
        <f t="shared" si="3"/>
        <v>15</v>
      </c>
      <c r="I201" s="14"/>
      <c r="J201" s="13">
        <f t="shared" si="4"/>
        <v>30</v>
      </c>
      <c r="K201" s="14"/>
      <c r="L201" s="13"/>
      <c r="M201" s="14"/>
      <c r="N201" s="15"/>
    </row>
    <row r="202" ht="46.5" customHeight="1">
      <c r="A202" s="24" t="s">
        <v>226</v>
      </c>
      <c r="B202" s="16" t="s">
        <v>233</v>
      </c>
      <c r="C202" s="10" t="str">
        <f>'Master Tracker'!O202</f>
        <v/>
      </c>
      <c r="D202" s="11">
        <f t="shared" si="1"/>
        <v>1</v>
      </c>
      <c r="E202" s="14"/>
      <c r="F202" s="13">
        <f t="shared" si="2"/>
        <v>7</v>
      </c>
      <c r="G202" s="14"/>
      <c r="H202" s="13">
        <f t="shared" si="3"/>
        <v>15</v>
      </c>
      <c r="I202" s="14"/>
      <c r="J202" s="13">
        <f t="shared" si="4"/>
        <v>30</v>
      </c>
      <c r="K202" s="14"/>
      <c r="L202" s="13"/>
      <c r="M202" s="14"/>
      <c r="N202" s="15"/>
    </row>
    <row r="203" ht="46.5" customHeight="1">
      <c r="A203" s="24" t="s">
        <v>226</v>
      </c>
      <c r="B203" s="16" t="s">
        <v>234</v>
      </c>
      <c r="C203" s="10" t="str">
        <f>'Master Tracker'!O203</f>
        <v/>
      </c>
      <c r="D203" s="11">
        <f t="shared" si="1"/>
        <v>1</v>
      </c>
      <c r="E203" s="14"/>
      <c r="F203" s="13">
        <f t="shared" si="2"/>
        <v>7</v>
      </c>
      <c r="G203" s="14"/>
      <c r="H203" s="13">
        <f t="shared" si="3"/>
        <v>15</v>
      </c>
      <c r="I203" s="14"/>
      <c r="J203" s="13">
        <f t="shared" si="4"/>
        <v>30</v>
      </c>
      <c r="K203" s="14"/>
      <c r="L203" s="13"/>
      <c r="M203" s="14"/>
      <c r="N203" s="15"/>
    </row>
    <row r="204" ht="46.5" customHeight="1">
      <c r="A204" s="24" t="s">
        <v>226</v>
      </c>
      <c r="B204" s="16" t="s">
        <v>235</v>
      </c>
      <c r="C204" s="10" t="str">
        <f>'Master Tracker'!O204</f>
        <v/>
      </c>
      <c r="D204" s="11">
        <f t="shared" si="1"/>
        <v>1</v>
      </c>
      <c r="E204" s="14"/>
      <c r="F204" s="13">
        <f t="shared" si="2"/>
        <v>7</v>
      </c>
      <c r="G204" s="14"/>
      <c r="H204" s="13">
        <f t="shared" si="3"/>
        <v>15</v>
      </c>
      <c r="I204" s="14"/>
      <c r="J204" s="13">
        <f t="shared" si="4"/>
        <v>30</v>
      </c>
      <c r="K204" s="14"/>
      <c r="L204" s="13"/>
      <c r="M204" s="14"/>
      <c r="N204" s="15"/>
    </row>
    <row r="205" ht="46.5" customHeight="1">
      <c r="A205" s="24" t="s">
        <v>226</v>
      </c>
      <c r="B205" s="16" t="s">
        <v>236</v>
      </c>
      <c r="C205" s="10" t="str">
        <f>'Master Tracker'!O205</f>
        <v/>
      </c>
      <c r="D205" s="11">
        <f t="shared" si="1"/>
        <v>1</v>
      </c>
      <c r="E205" s="14"/>
      <c r="F205" s="13">
        <f t="shared" si="2"/>
        <v>7</v>
      </c>
      <c r="G205" s="14"/>
      <c r="H205" s="13">
        <f t="shared" si="3"/>
        <v>15</v>
      </c>
      <c r="I205" s="14"/>
      <c r="J205" s="13">
        <f t="shared" si="4"/>
        <v>30</v>
      </c>
      <c r="K205" s="14"/>
      <c r="L205" s="13"/>
      <c r="M205" s="14"/>
      <c r="N205" s="15"/>
    </row>
    <row r="206" ht="46.5" customHeight="1">
      <c r="A206" s="24" t="s">
        <v>226</v>
      </c>
      <c r="B206" s="16" t="s">
        <v>237</v>
      </c>
      <c r="C206" s="10" t="str">
        <f>'Master Tracker'!O206</f>
        <v/>
      </c>
      <c r="D206" s="11">
        <f t="shared" si="1"/>
        <v>1</v>
      </c>
      <c r="E206" s="14"/>
      <c r="F206" s="13">
        <f t="shared" si="2"/>
        <v>7</v>
      </c>
      <c r="G206" s="14"/>
      <c r="H206" s="13">
        <f t="shared" si="3"/>
        <v>15</v>
      </c>
      <c r="I206" s="14"/>
      <c r="J206" s="13">
        <f t="shared" si="4"/>
        <v>30</v>
      </c>
      <c r="K206" s="14"/>
      <c r="L206" s="13"/>
      <c r="M206" s="14"/>
      <c r="N206" s="15"/>
    </row>
    <row r="207" ht="46.5" customHeight="1">
      <c r="A207" s="24" t="s">
        <v>226</v>
      </c>
      <c r="B207" s="16" t="s">
        <v>238</v>
      </c>
      <c r="C207" s="10" t="str">
        <f>'Master Tracker'!O207</f>
        <v/>
      </c>
      <c r="D207" s="11">
        <f t="shared" si="1"/>
        <v>1</v>
      </c>
      <c r="E207" s="14"/>
      <c r="F207" s="13">
        <f t="shared" si="2"/>
        <v>7</v>
      </c>
      <c r="G207" s="14"/>
      <c r="H207" s="13">
        <f t="shared" si="3"/>
        <v>15</v>
      </c>
      <c r="I207" s="14"/>
      <c r="J207" s="13">
        <f t="shared" si="4"/>
        <v>30</v>
      </c>
      <c r="K207" s="14"/>
      <c r="L207" s="13"/>
      <c r="M207" s="14"/>
      <c r="N207" s="15"/>
    </row>
    <row r="208" ht="46.5" customHeight="1">
      <c r="A208" s="24" t="s">
        <v>226</v>
      </c>
      <c r="B208" s="16" t="s">
        <v>239</v>
      </c>
      <c r="C208" s="10" t="str">
        <f>'Master Tracker'!O208</f>
        <v/>
      </c>
      <c r="D208" s="11">
        <f t="shared" si="1"/>
        <v>1</v>
      </c>
      <c r="E208" s="14"/>
      <c r="F208" s="13">
        <f t="shared" si="2"/>
        <v>7</v>
      </c>
      <c r="G208" s="14"/>
      <c r="H208" s="13">
        <f t="shared" si="3"/>
        <v>15</v>
      </c>
      <c r="I208" s="14"/>
      <c r="J208" s="13">
        <f t="shared" si="4"/>
        <v>30</v>
      </c>
      <c r="K208" s="14"/>
      <c r="L208" s="13"/>
      <c r="M208" s="14"/>
      <c r="N208" s="15"/>
    </row>
    <row r="209" ht="46.5" customHeight="1">
      <c r="A209" s="25" t="s">
        <v>240</v>
      </c>
      <c r="B209" s="16" t="s">
        <v>241</v>
      </c>
      <c r="C209" s="10" t="str">
        <f>'Master Tracker'!O209</f>
        <v/>
      </c>
      <c r="D209" s="11">
        <f t="shared" si="1"/>
        <v>1</v>
      </c>
      <c r="E209" s="14"/>
      <c r="F209" s="13">
        <f t="shared" si="2"/>
        <v>7</v>
      </c>
      <c r="G209" s="14"/>
      <c r="H209" s="13">
        <f t="shared" si="3"/>
        <v>15</v>
      </c>
      <c r="I209" s="14"/>
      <c r="J209" s="13">
        <f t="shared" si="4"/>
        <v>30</v>
      </c>
      <c r="K209" s="14"/>
      <c r="L209" s="13"/>
      <c r="M209" s="14"/>
      <c r="N209" s="15"/>
    </row>
    <row r="210" ht="46.5" customHeight="1">
      <c r="A210" s="25" t="s">
        <v>240</v>
      </c>
      <c r="B210" s="16" t="s">
        <v>242</v>
      </c>
      <c r="C210" s="10" t="str">
        <f>'Master Tracker'!O210</f>
        <v/>
      </c>
      <c r="D210" s="11">
        <f t="shared" si="1"/>
        <v>1</v>
      </c>
      <c r="E210" s="14"/>
      <c r="F210" s="13">
        <f t="shared" si="2"/>
        <v>7</v>
      </c>
      <c r="G210" s="14"/>
      <c r="H210" s="13">
        <f t="shared" si="3"/>
        <v>15</v>
      </c>
      <c r="I210" s="14"/>
      <c r="J210" s="13">
        <f t="shared" si="4"/>
        <v>30</v>
      </c>
      <c r="K210" s="14"/>
      <c r="L210" s="13"/>
      <c r="M210" s="14"/>
      <c r="N210" s="15"/>
    </row>
    <row r="211" ht="46.5" customHeight="1">
      <c r="A211" s="25" t="s">
        <v>240</v>
      </c>
      <c r="B211" s="16" t="s">
        <v>243</v>
      </c>
      <c r="C211" s="10" t="str">
        <f>'Master Tracker'!O211</f>
        <v/>
      </c>
      <c r="D211" s="11">
        <f t="shared" si="1"/>
        <v>1</v>
      </c>
      <c r="E211" s="14"/>
      <c r="F211" s="13">
        <f t="shared" si="2"/>
        <v>7</v>
      </c>
      <c r="G211" s="14"/>
      <c r="H211" s="13">
        <f t="shared" si="3"/>
        <v>15</v>
      </c>
      <c r="I211" s="14"/>
      <c r="J211" s="13">
        <f t="shared" si="4"/>
        <v>30</v>
      </c>
      <c r="K211" s="14"/>
      <c r="L211" s="13"/>
      <c r="M211" s="14"/>
      <c r="N211" s="15"/>
    </row>
    <row r="212" ht="46.5" customHeight="1">
      <c r="A212" s="25" t="s">
        <v>240</v>
      </c>
      <c r="B212" s="16" t="s">
        <v>244</v>
      </c>
      <c r="C212" s="10" t="str">
        <f>'Master Tracker'!O212</f>
        <v/>
      </c>
      <c r="D212" s="11">
        <f t="shared" si="1"/>
        <v>1</v>
      </c>
      <c r="E212" s="14"/>
      <c r="F212" s="13">
        <f t="shared" si="2"/>
        <v>7</v>
      </c>
      <c r="G212" s="14"/>
      <c r="H212" s="13">
        <f t="shared" si="3"/>
        <v>15</v>
      </c>
      <c r="I212" s="14"/>
      <c r="J212" s="13">
        <f t="shared" si="4"/>
        <v>30</v>
      </c>
      <c r="K212" s="14"/>
      <c r="L212" s="13"/>
      <c r="M212" s="14"/>
      <c r="N212" s="15"/>
    </row>
    <row r="213" ht="46.5" customHeight="1">
      <c r="A213" s="25" t="s">
        <v>240</v>
      </c>
      <c r="B213" s="16" t="s">
        <v>245</v>
      </c>
      <c r="C213" s="10" t="str">
        <f>'Master Tracker'!O213</f>
        <v/>
      </c>
      <c r="D213" s="11">
        <f t="shared" si="1"/>
        <v>1</v>
      </c>
      <c r="E213" s="14"/>
      <c r="F213" s="13">
        <f t="shared" si="2"/>
        <v>7</v>
      </c>
      <c r="G213" s="14"/>
      <c r="H213" s="13">
        <f t="shared" si="3"/>
        <v>15</v>
      </c>
      <c r="I213" s="14"/>
      <c r="J213" s="13">
        <f t="shared" si="4"/>
        <v>30</v>
      </c>
      <c r="K213" s="14"/>
      <c r="L213" s="13"/>
      <c r="M213" s="14"/>
      <c r="N213" s="15"/>
    </row>
    <row r="214" ht="46.5" customHeight="1">
      <c r="A214" s="25" t="s">
        <v>240</v>
      </c>
      <c r="B214" s="16" t="s">
        <v>246</v>
      </c>
      <c r="C214" s="10" t="str">
        <f>'Master Tracker'!O214</f>
        <v/>
      </c>
      <c r="D214" s="11">
        <f t="shared" si="1"/>
        <v>1</v>
      </c>
      <c r="E214" s="14"/>
      <c r="F214" s="13">
        <f t="shared" si="2"/>
        <v>7</v>
      </c>
      <c r="G214" s="14"/>
      <c r="H214" s="13">
        <f t="shared" si="3"/>
        <v>15</v>
      </c>
      <c r="I214" s="14"/>
      <c r="J214" s="13">
        <f t="shared" si="4"/>
        <v>30</v>
      </c>
      <c r="K214" s="14"/>
      <c r="L214" s="13"/>
      <c r="M214" s="14"/>
      <c r="N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</sheetData>
  <mergeCells count="2">
    <mergeCell ref="A1:N1"/>
    <mergeCell ref="A2:N2"/>
  </mergeCells>
  <dataValidations>
    <dataValidation type="list" allowBlank="1" showErrorMessage="1" sqref="E4:E214 G4:G214 I4:I214 K4:K214 M4:M214">
      <formula1>"DONE"</formula1>
    </dataValidation>
  </dataValidations>
  <printOptions/>
  <pageMargins bottom="0.5118110236220472" footer="0.0" header="0.0" left="0.3937007874015748" right="0.1968503937007874" top="0.5905511811023623"/>
  <pageSetup paperSize="9" scale="6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4.0"/>
    <col customWidth="1" min="2" max="2" width="28.71"/>
    <col customWidth="1" min="3" max="5" width="14.0"/>
    <col customWidth="1" min="6" max="6" width="10.0"/>
    <col customWidth="1" min="7" max="7" width="14.0"/>
    <col customWidth="1" min="8" max="8" width="11.43"/>
    <col customWidth="1" min="9" max="9" width="16.0"/>
    <col customWidth="1" min="10" max="10" width="14.0"/>
    <col customWidth="1" min="11" max="11" width="11.43"/>
    <col customWidth="1" min="12" max="12" width="12.0"/>
    <col customWidth="1" min="13" max="13" width="12.29"/>
    <col customWidth="1" min="14" max="14" width="13.43"/>
    <col customWidth="1" min="15" max="15" width="15.71"/>
    <col customWidth="1" min="16" max="25" width="8.71"/>
  </cols>
  <sheetData>
    <row r="1" ht="18.0" customHeight="1">
      <c r="A1" s="26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27" t="s">
        <v>248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38.25" customHeight="1">
      <c r="A3" s="28" t="s">
        <v>2</v>
      </c>
      <c r="B3" s="28" t="s">
        <v>3</v>
      </c>
      <c r="C3" s="28" t="s">
        <v>249</v>
      </c>
      <c r="D3" s="28" t="s">
        <v>250</v>
      </c>
      <c r="E3" s="28" t="s">
        <v>251</v>
      </c>
      <c r="F3" s="28" t="s">
        <v>252</v>
      </c>
      <c r="G3" s="28" t="s">
        <v>253</v>
      </c>
      <c r="H3" s="28" t="s">
        <v>254</v>
      </c>
      <c r="I3" s="28" t="s">
        <v>255</v>
      </c>
      <c r="J3" s="28" t="s">
        <v>256</v>
      </c>
      <c r="K3" s="28" t="s">
        <v>257</v>
      </c>
      <c r="L3" s="28" t="s">
        <v>258</v>
      </c>
      <c r="M3" s="29" t="s">
        <v>259</v>
      </c>
      <c r="N3" s="30" t="s">
        <v>260</v>
      </c>
      <c r="O3" s="31" t="s">
        <v>261</v>
      </c>
    </row>
    <row r="4" ht="36.0" customHeight="1">
      <c r="A4" s="8" t="s">
        <v>16</v>
      </c>
      <c r="B4" s="9" t="s">
        <v>17</v>
      </c>
      <c r="C4" s="32"/>
      <c r="D4" s="33"/>
      <c r="E4" s="33"/>
      <c r="F4" s="33"/>
      <c r="G4" s="33"/>
      <c r="H4" s="33"/>
      <c r="I4" s="33"/>
      <c r="J4" s="33"/>
      <c r="K4" s="33"/>
      <c r="L4" s="33"/>
      <c r="M4" s="34"/>
      <c r="N4" s="12" t="s">
        <v>262</v>
      </c>
      <c r="O4" s="35">
        <v>46188.0</v>
      </c>
    </row>
    <row r="5" ht="36.0" customHeight="1">
      <c r="A5" s="8" t="s">
        <v>16</v>
      </c>
      <c r="B5" s="16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12" t="s">
        <v>262</v>
      </c>
      <c r="O5" s="35">
        <v>46189.0</v>
      </c>
    </row>
    <row r="6" ht="36.0" customHeight="1">
      <c r="A6" s="8" t="s">
        <v>16</v>
      </c>
      <c r="B6" s="9" t="s">
        <v>20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12" t="s">
        <v>262</v>
      </c>
      <c r="O6" s="35">
        <v>46197.0</v>
      </c>
    </row>
    <row r="7" ht="36.0" customHeight="1">
      <c r="A7" s="8" t="s">
        <v>16</v>
      </c>
      <c r="B7" s="16" t="s">
        <v>21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14"/>
      <c r="O7" s="35"/>
    </row>
    <row r="8" ht="36.0" customHeight="1">
      <c r="A8" s="8" t="s">
        <v>16</v>
      </c>
      <c r="B8" s="9" t="s">
        <v>22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14"/>
      <c r="O8" s="35"/>
    </row>
    <row r="9" ht="36.0" customHeight="1">
      <c r="A9" s="8" t="s">
        <v>16</v>
      </c>
      <c r="B9" s="16" t="s">
        <v>23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14"/>
      <c r="O9" s="35"/>
    </row>
    <row r="10" ht="36.0" customHeight="1">
      <c r="A10" s="8" t="s">
        <v>16</v>
      </c>
      <c r="B10" s="9" t="s">
        <v>24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14"/>
      <c r="O10" s="35"/>
    </row>
    <row r="11" ht="36.0" customHeight="1">
      <c r="A11" s="8" t="s">
        <v>16</v>
      </c>
      <c r="B11" s="16" t="s">
        <v>25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14"/>
      <c r="O11" s="35"/>
    </row>
    <row r="12" ht="36.0" customHeight="1">
      <c r="A12" s="8" t="s">
        <v>16</v>
      </c>
      <c r="B12" s="9" t="s">
        <v>26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14"/>
      <c r="O12" s="35"/>
    </row>
    <row r="13" ht="36.0" customHeight="1">
      <c r="A13" s="17" t="s">
        <v>27</v>
      </c>
      <c r="B13" s="16" t="s">
        <v>28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14"/>
      <c r="O13" s="35"/>
    </row>
    <row r="14" ht="36.0" customHeight="1">
      <c r="A14" s="17" t="s">
        <v>27</v>
      </c>
      <c r="B14" s="16" t="s">
        <v>29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14"/>
      <c r="O14" s="35"/>
    </row>
    <row r="15" ht="36.0" customHeight="1">
      <c r="A15" s="17" t="s">
        <v>27</v>
      </c>
      <c r="B15" s="16" t="s">
        <v>30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14"/>
      <c r="O15" s="35"/>
    </row>
    <row r="16" ht="36.0" customHeight="1">
      <c r="A16" s="17" t="s">
        <v>27</v>
      </c>
      <c r="B16" s="16" t="s">
        <v>31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14"/>
      <c r="O16" s="35"/>
    </row>
    <row r="17" ht="36.0" customHeight="1">
      <c r="A17" s="17" t="s">
        <v>27</v>
      </c>
      <c r="B17" s="16" t="s">
        <v>32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14"/>
      <c r="O17" s="35"/>
    </row>
    <row r="18" ht="36.0" customHeight="1">
      <c r="A18" s="17" t="s">
        <v>27</v>
      </c>
      <c r="B18" s="16" t="s">
        <v>33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14"/>
      <c r="O18" s="35"/>
    </row>
    <row r="19" ht="36.0" customHeight="1">
      <c r="A19" s="17" t="s">
        <v>27</v>
      </c>
      <c r="B19" s="16" t="s">
        <v>34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14"/>
      <c r="O19" s="35"/>
    </row>
    <row r="20" ht="36.0" customHeight="1">
      <c r="A20" s="17" t="s">
        <v>27</v>
      </c>
      <c r="B20" s="16" t="s">
        <v>35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14"/>
      <c r="O20" s="35"/>
    </row>
    <row r="21" ht="36.0" customHeight="1">
      <c r="A21" s="17" t="s">
        <v>27</v>
      </c>
      <c r="B21" s="16" t="s">
        <v>36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14"/>
      <c r="O21" s="35"/>
    </row>
    <row r="22" ht="36.0" customHeight="1">
      <c r="A22" s="8" t="s">
        <v>37</v>
      </c>
      <c r="B22" s="16" t="s">
        <v>38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14"/>
      <c r="O22" s="35"/>
    </row>
    <row r="23" ht="36.0" customHeight="1">
      <c r="A23" s="8" t="s">
        <v>37</v>
      </c>
      <c r="B23" s="16" t="s">
        <v>39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14"/>
      <c r="O23" s="35"/>
    </row>
    <row r="24" ht="36.0" customHeight="1">
      <c r="A24" s="8" t="s">
        <v>37</v>
      </c>
      <c r="B24" s="16" t="s">
        <v>40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14"/>
      <c r="O24" s="35"/>
    </row>
    <row r="25" ht="36.0" customHeight="1">
      <c r="A25" s="8" t="s">
        <v>37</v>
      </c>
      <c r="B25" s="16" t="s">
        <v>41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14"/>
      <c r="O25" s="35"/>
    </row>
    <row r="26" ht="36.0" customHeight="1">
      <c r="A26" s="8" t="s">
        <v>37</v>
      </c>
      <c r="B26" s="16" t="s">
        <v>42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14"/>
      <c r="O26" s="35"/>
    </row>
    <row r="27" ht="36.0" customHeight="1">
      <c r="A27" s="8" t="s">
        <v>37</v>
      </c>
      <c r="B27" s="16" t="s">
        <v>43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14"/>
      <c r="O27" s="35"/>
    </row>
    <row r="28" ht="36.0" customHeight="1">
      <c r="A28" s="8" t="s">
        <v>37</v>
      </c>
      <c r="B28" s="16" t="s">
        <v>44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14"/>
      <c r="O28" s="35"/>
    </row>
    <row r="29" ht="36.0" customHeight="1">
      <c r="A29" s="8" t="s">
        <v>37</v>
      </c>
      <c r="B29" s="16" t="s">
        <v>45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14"/>
      <c r="O29" s="35"/>
    </row>
    <row r="30" ht="36.0" customHeight="1">
      <c r="A30" s="8" t="s">
        <v>37</v>
      </c>
      <c r="B30" s="16" t="s">
        <v>46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14"/>
      <c r="O30" s="35"/>
    </row>
    <row r="31" ht="36.0" customHeight="1">
      <c r="A31" s="8" t="s">
        <v>37</v>
      </c>
      <c r="B31" s="16" t="s">
        <v>47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14"/>
      <c r="O31" s="35"/>
    </row>
    <row r="32" ht="36.0" customHeight="1">
      <c r="A32" s="8" t="s">
        <v>37</v>
      </c>
      <c r="B32" s="16" t="s">
        <v>48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14"/>
      <c r="O32" s="35"/>
    </row>
    <row r="33" ht="36.0" customHeight="1">
      <c r="A33" s="8" t="s">
        <v>37</v>
      </c>
      <c r="B33" s="16" t="s">
        <v>49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14"/>
      <c r="O33" s="35"/>
    </row>
    <row r="34" ht="36.0" customHeight="1">
      <c r="A34" s="8" t="s">
        <v>37</v>
      </c>
      <c r="B34" s="16" t="s">
        <v>50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14"/>
      <c r="O34" s="35"/>
    </row>
    <row r="35" ht="36.0" customHeight="1">
      <c r="A35" s="8" t="s">
        <v>37</v>
      </c>
      <c r="B35" s="16" t="s">
        <v>51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14"/>
      <c r="O35" s="35"/>
    </row>
    <row r="36" ht="36.0" customHeight="1">
      <c r="A36" s="8" t="s">
        <v>52</v>
      </c>
      <c r="B36" s="16" t="s">
        <v>53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14"/>
      <c r="O36" s="35"/>
    </row>
    <row r="37" ht="36.0" customHeight="1">
      <c r="A37" s="8" t="s">
        <v>52</v>
      </c>
      <c r="B37" s="16" t="s">
        <v>54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14"/>
      <c r="O37" s="35"/>
    </row>
    <row r="38" ht="36.0" customHeight="1">
      <c r="A38" s="8" t="s">
        <v>55</v>
      </c>
      <c r="B38" s="16" t="s">
        <v>56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14"/>
      <c r="O38" s="35"/>
    </row>
    <row r="39" ht="36.0" customHeight="1">
      <c r="A39" s="8" t="s">
        <v>55</v>
      </c>
      <c r="B39" s="16" t="s">
        <v>57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14"/>
      <c r="O39" s="35"/>
    </row>
    <row r="40" ht="36.0" customHeight="1">
      <c r="A40" s="18" t="s">
        <v>58</v>
      </c>
      <c r="B40" s="16" t="s">
        <v>59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14"/>
      <c r="O40" s="35"/>
    </row>
    <row r="41" ht="36.0" customHeight="1">
      <c r="A41" s="18" t="s">
        <v>58</v>
      </c>
      <c r="B41" s="16" t="s">
        <v>60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14"/>
      <c r="O41" s="35"/>
    </row>
    <row r="42" ht="36.0" customHeight="1">
      <c r="A42" s="18" t="s">
        <v>58</v>
      </c>
      <c r="B42" s="16" t="s">
        <v>61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14"/>
      <c r="O42" s="35"/>
    </row>
    <row r="43" ht="36.0" customHeight="1">
      <c r="A43" s="18" t="s">
        <v>58</v>
      </c>
      <c r="B43" s="16" t="s">
        <v>62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14"/>
      <c r="O43" s="35"/>
    </row>
    <row r="44" ht="36.0" customHeight="1">
      <c r="A44" s="18" t="s">
        <v>58</v>
      </c>
      <c r="B44" s="16" t="s">
        <v>63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14"/>
      <c r="O44" s="35"/>
    </row>
    <row r="45" ht="36.0" customHeight="1">
      <c r="A45" s="18" t="s">
        <v>58</v>
      </c>
      <c r="B45" s="16" t="s">
        <v>64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14"/>
      <c r="O45" s="35"/>
    </row>
    <row r="46" ht="36.0" customHeight="1">
      <c r="A46" s="18" t="s">
        <v>58</v>
      </c>
      <c r="B46" s="16" t="s">
        <v>65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14"/>
      <c r="O46" s="35"/>
    </row>
    <row r="47" ht="36.0" customHeight="1">
      <c r="A47" s="18" t="s">
        <v>58</v>
      </c>
      <c r="B47" s="16" t="s">
        <v>66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14"/>
      <c r="O47" s="35"/>
    </row>
    <row r="48" ht="36.0" customHeight="1">
      <c r="A48" s="18" t="s">
        <v>58</v>
      </c>
      <c r="B48" s="16" t="s">
        <v>67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14"/>
      <c r="O48" s="35"/>
    </row>
    <row r="49" ht="36.0" customHeight="1">
      <c r="A49" s="18" t="s">
        <v>58</v>
      </c>
      <c r="B49" s="16" t="s">
        <v>68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14"/>
      <c r="O49" s="35"/>
    </row>
    <row r="50" ht="36.0" customHeight="1">
      <c r="A50" s="18" t="s">
        <v>69</v>
      </c>
      <c r="B50" s="16" t="s">
        <v>70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14"/>
      <c r="O50" s="35"/>
    </row>
    <row r="51" ht="36.0" customHeight="1">
      <c r="A51" s="18" t="s">
        <v>69</v>
      </c>
      <c r="B51" s="16" t="s">
        <v>71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14"/>
      <c r="O51" s="35"/>
    </row>
    <row r="52" ht="36.0" customHeight="1">
      <c r="A52" s="18" t="s">
        <v>69</v>
      </c>
      <c r="B52" s="16" t="s">
        <v>72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14"/>
      <c r="O52" s="35"/>
    </row>
    <row r="53" ht="36.0" customHeight="1">
      <c r="A53" s="18" t="s">
        <v>69</v>
      </c>
      <c r="B53" s="16" t="s">
        <v>73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14"/>
      <c r="O53" s="35"/>
    </row>
    <row r="54" ht="36.0" customHeight="1">
      <c r="A54" s="18" t="s">
        <v>69</v>
      </c>
      <c r="B54" s="16" t="s">
        <v>74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14"/>
      <c r="O54" s="35"/>
    </row>
    <row r="55" ht="36.0" customHeight="1">
      <c r="A55" s="18" t="s">
        <v>69</v>
      </c>
      <c r="B55" s="16" t="s">
        <v>75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14"/>
      <c r="O55" s="35"/>
    </row>
    <row r="56" ht="36.0" customHeight="1">
      <c r="A56" s="18" t="s">
        <v>69</v>
      </c>
      <c r="B56" s="16" t="s">
        <v>76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14"/>
      <c r="O56" s="35"/>
    </row>
    <row r="57" ht="36.0" customHeight="1">
      <c r="A57" s="18" t="s">
        <v>77</v>
      </c>
      <c r="B57" s="16" t="s">
        <v>78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14"/>
      <c r="O57" s="35"/>
    </row>
    <row r="58" ht="36.0" customHeight="1">
      <c r="A58" s="18" t="s">
        <v>77</v>
      </c>
      <c r="B58" s="16" t="s">
        <v>79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14"/>
      <c r="O58" s="35"/>
    </row>
    <row r="59" ht="36.0" customHeight="1">
      <c r="A59" s="18" t="s">
        <v>77</v>
      </c>
      <c r="B59" s="16" t="s">
        <v>80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14"/>
      <c r="O59" s="35"/>
    </row>
    <row r="60" ht="36.0" customHeight="1">
      <c r="A60" s="18" t="s">
        <v>77</v>
      </c>
      <c r="B60" s="16" t="s">
        <v>81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14"/>
      <c r="O60" s="35"/>
    </row>
    <row r="61" ht="36.0" customHeight="1">
      <c r="A61" s="18" t="s">
        <v>77</v>
      </c>
      <c r="B61" s="16" t="s">
        <v>82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14"/>
      <c r="O61" s="35"/>
    </row>
    <row r="62" ht="36.0" customHeight="1">
      <c r="A62" s="18" t="s">
        <v>77</v>
      </c>
      <c r="B62" s="16" t="s">
        <v>83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14"/>
      <c r="O62" s="35"/>
    </row>
    <row r="63" ht="36.0" customHeight="1">
      <c r="A63" s="18" t="s">
        <v>77</v>
      </c>
      <c r="B63" s="16" t="s">
        <v>84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14"/>
      <c r="O63" s="35"/>
    </row>
    <row r="64" ht="36.0" customHeight="1">
      <c r="A64" s="18" t="s">
        <v>77</v>
      </c>
      <c r="B64" s="16" t="s">
        <v>85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14"/>
      <c r="O64" s="35"/>
    </row>
    <row r="65" ht="36.0" customHeight="1">
      <c r="A65" s="19" t="s">
        <v>86</v>
      </c>
      <c r="B65" s="16" t="s">
        <v>87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14"/>
      <c r="O65" s="35"/>
    </row>
    <row r="66" ht="36.0" customHeight="1">
      <c r="A66" s="19" t="s">
        <v>86</v>
      </c>
      <c r="B66" s="16" t="s">
        <v>88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14"/>
      <c r="O66" s="35"/>
    </row>
    <row r="67" ht="36.0" customHeight="1">
      <c r="A67" s="19" t="s">
        <v>86</v>
      </c>
      <c r="B67" s="16" t="s">
        <v>89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14"/>
      <c r="O67" s="35"/>
    </row>
    <row r="68" ht="36.0" customHeight="1">
      <c r="A68" s="19" t="s">
        <v>86</v>
      </c>
      <c r="B68" s="16" t="s">
        <v>90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14"/>
      <c r="O68" s="35"/>
    </row>
    <row r="69" ht="36.0" customHeight="1">
      <c r="A69" s="19" t="s">
        <v>86</v>
      </c>
      <c r="B69" s="16" t="s">
        <v>91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14"/>
      <c r="O69" s="35"/>
    </row>
    <row r="70" ht="36.0" customHeight="1">
      <c r="A70" s="19" t="s">
        <v>86</v>
      </c>
      <c r="B70" s="16" t="s">
        <v>92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14"/>
      <c r="O70" s="35"/>
    </row>
    <row r="71" ht="36.0" customHeight="1">
      <c r="A71" s="19" t="s">
        <v>86</v>
      </c>
      <c r="B71" s="16" t="s">
        <v>93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14"/>
      <c r="O71" s="35"/>
    </row>
    <row r="72" ht="36.0" customHeight="1">
      <c r="A72" s="19" t="s">
        <v>86</v>
      </c>
      <c r="B72" s="16" t="s">
        <v>94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14"/>
      <c r="O72" s="35"/>
    </row>
    <row r="73" ht="36.0" customHeight="1">
      <c r="A73" s="19" t="s">
        <v>86</v>
      </c>
      <c r="B73" s="16" t="s">
        <v>95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14"/>
      <c r="O73" s="35"/>
    </row>
    <row r="74" ht="36.0" customHeight="1">
      <c r="A74" s="19" t="s">
        <v>86</v>
      </c>
      <c r="B74" s="16" t="s">
        <v>96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14"/>
      <c r="O74" s="35"/>
    </row>
    <row r="75" ht="36.0" customHeight="1">
      <c r="A75" s="19" t="s">
        <v>86</v>
      </c>
      <c r="B75" s="16" t="s">
        <v>97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14"/>
      <c r="O75" s="35"/>
    </row>
    <row r="76" ht="36.0" customHeight="1">
      <c r="A76" s="19" t="s">
        <v>86</v>
      </c>
      <c r="B76" s="16" t="s">
        <v>98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14"/>
      <c r="O76" s="35"/>
    </row>
    <row r="77" ht="36.0" customHeight="1">
      <c r="A77" s="19" t="s">
        <v>86</v>
      </c>
      <c r="B77" s="16" t="s">
        <v>99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14"/>
      <c r="O77" s="35"/>
    </row>
    <row r="78" ht="36.0" customHeight="1">
      <c r="A78" s="19" t="s">
        <v>86</v>
      </c>
      <c r="B78" s="16" t="s">
        <v>100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14"/>
      <c r="O78" s="35"/>
    </row>
    <row r="79" ht="36.0" customHeight="1">
      <c r="A79" s="19" t="s">
        <v>86</v>
      </c>
      <c r="B79" s="16" t="s">
        <v>101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14"/>
      <c r="O79" s="35"/>
    </row>
    <row r="80" ht="36.0" customHeight="1">
      <c r="A80" s="19" t="s">
        <v>86</v>
      </c>
      <c r="B80" s="16" t="s">
        <v>102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14"/>
      <c r="O80" s="35"/>
    </row>
    <row r="81" ht="36.0" customHeight="1">
      <c r="A81" s="19" t="s">
        <v>86</v>
      </c>
      <c r="B81" s="16" t="s">
        <v>103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14"/>
      <c r="O81" s="35"/>
    </row>
    <row r="82" ht="36.0" customHeight="1">
      <c r="A82" s="19" t="s">
        <v>86</v>
      </c>
      <c r="B82" s="16" t="s">
        <v>104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14"/>
      <c r="O82" s="35"/>
    </row>
    <row r="83" ht="36.0" customHeight="1">
      <c r="A83" s="19" t="s">
        <v>86</v>
      </c>
      <c r="B83" s="16" t="s">
        <v>105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14"/>
      <c r="O83" s="35"/>
    </row>
    <row r="84" ht="36.0" customHeight="1">
      <c r="A84" s="19" t="s">
        <v>86</v>
      </c>
      <c r="B84" s="16" t="s">
        <v>106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14"/>
      <c r="O84" s="35"/>
    </row>
    <row r="85" ht="36.0" customHeight="1">
      <c r="A85" s="19" t="s">
        <v>86</v>
      </c>
      <c r="B85" s="16" t="s">
        <v>107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14"/>
      <c r="O85" s="35"/>
    </row>
    <row r="86" ht="36.0" customHeight="1">
      <c r="A86" s="19" t="s">
        <v>86</v>
      </c>
      <c r="B86" s="16" t="s">
        <v>108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14"/>
      <c r="O86" s="35"/>
    </row>
    <row r="87" ht="36.0" customHeight="1">
      <c r="A87" s="19" t="s">
        <v>86</v>
      </c>
      <c r="B87" s="16" t="s">
        <v>109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14"/>
      <c r="O87" s="35"/>
    </row>
    <row r="88" ht="36.0" customHeight="1">
      <c r="A88" s="19" t="s">
        <v>86</v>
      </c>
      <c r="B88" s="16" t="s">
        <v>110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14"/>
      <c r="O88" s="35"/>
    </row>
    <row r="89" ht="36.0" customHeight="1">
      <c r="A89" s="19" t="s">
        <v>86</v>
      </c>
      <c r="B89" s="16" t="s">
        <v>111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14"/>
      <c r="O89" s="35"/>
    </row>
    <row r="90" ht="36.0" customHeight="1">
      <c r="A90" s="19" t="s">
        <v>86</v>
      </c>
      <c r="B90" s="16" t="s">
        <v>112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14"/>
      <c r="O90" s="35"/>
    </row>
    <row r="91" ht="36.0" customHeight="1">
      <c r="A91" s="20" t="s">
        <v>113</v>
      </c>
      <c r="B91" s="16" t="s">
        <v>114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14"/>
      <c r="O91" s="35"/>
    </row>
    <row r="92" ht="36.0" customHeight="1">
      <c r="A92" s="20" t="s">
        <v>113</v>
      </c>
      <c r="B92" s="16" t="s">
        <v>115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14"/>
      <c r="O92" s="35"/>
    </row>
    <row r="93" ht="36.0" customHeight="1">
      <c r="A93" s="20" t="s">
        <v>113</v>
      </c>
      <c r="B93" s="16" t="s">
        <v>116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14"/>
      <c r="O93" s="35"/>
    </row>
    <row r="94" ht="36.0" customHeight="1">
      <c r="A94" s="20" t="s">
        <v>113</v>
      </c>
      <c r="B94" s="16" t="s">
        <v>117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14"/>
      <c r="O94" s="35"/>
    </row>
    <row r="95" ht="36.0" customHeight="1">
      <c r="A95" s="20" t="s">
        <v>113</v>
      </c>
      <c r="B95" s="16" t="s">
        <v>118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14"/>
      <c r="O95" s="35"/>
    </row>
    <row r="96" ht="36.0" customHeight="1">
      <c r="A96" s="20" t="s">
        <v>113</v>
      </c>
      <c r="B96" s="16" t="s">
        <v>119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14"/>
      <c r="O96" s="35"/>
    </row>
    <row r="97" ht="36.0" customHeight="1">
      <c r="A97" s="20" t="s">
        <v>113</v>
      </c>
      <c r="B97" s="16" t="s">
        <v>120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14"/>
      <c r="O97" s="35"/>
    </row>
    <row r="98" ht="36.0" customHeight="1">
      <c r="A98" s="20" t="s">
        <v>113</v>
      </c>
      <c r="B98" s="16" t="s">
        <v>121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14"/>
      <c r="O98" s="35"/>
    </row>
    <row r="99" ht="36.0" customHeight="1">
      <c r="A99" s="20" t="s">
        <v>113</v>
      </c>
      <c r="B99" s="16" t="s">
        <v>122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14"/>
      <c r="O99" s="35"/>
    </row>
    <row r="100" ht="36.0" customHeight="1">
      <c r="A100" s="20" t="s">
        <v>113</v>
      </c>
      <c r="B100" s="16" t="s">
        <v>123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14"/>
      <c r="O100" s="35"/>
    </row>
    <row r="101" ht="36.0" customHeight="1">
      <c r="A101" s="20" t="s">
        <v>113</v>
      </c>
      <c r="B101" s="16" t="s">
        <v>124</v>
      </c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14"/>
      <c r="O101" s="35"/>
    </row>
    <row r="102" ht="36.0" customHeight="1">
      <c r="A102" s="20" t="s">
        <v>113</v>
      </c>
      <c r="B102" s="16" t="s">
        <v>125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14"/>
      <c r="O102" s="35"/>
    </row>
    <row r="103" ht="36.0" customHeight="1">
      <c r="A103" s="20" t="s">
        <v>113</v>
      </c>
      <c r="B103" s="16" t="s">
        <v>126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14"/>
      <c r="O103" s="35"/>
    </row>
    <row r="104" ht="36.0" customHeight="1">
      <c r="A104" s="20" t="s">
        <v>113</v>
      </c>
      <c r="B104" s="16" t="s">
        <v>127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14"/>
      <c r="O104" s="35"/>
    </row>
    <row r="105" ht="36.0" customHeight="1">
      <c r="A105" s="20" t="s">
        <v>113</v>
      </c>
      <c r="B105" s="16" t="s">
        <v>128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14"/>
      <c r="O105" s="35"/>
    </row>
    <row r="106" ht="36.0" customHeight="1">
      <c r="A106" s="20" t="s">
        <v>113</v>
      </c>
      <c r="B106" s="16" t="s">
        <v>129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14"/>
      <c r="O106" s="35"/>
    </row>
    <row r="107" ht="36.0" customHeight="1">
      <c r="A107" s="20" t="s">
        <v>113</v>
      </c>
      <c r="B107" s="16" t="s">
        <v>130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6"/>
      <c r="O107" s="35"/>
    </row>
    <row r="108" ht="36.0" customHeight="1">
      <c r="A108" s="21" t="s">
        <v>131</v>
      </c>
      <c r="B108" s="16" t="s">
        <v>132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6"/>
      <c r="O108" s="35"/>
    </row>
    <row r="109" ht="36.0" customHeight="1">
      <c r="A109" s="21" t="s">
        <v>131</v>
      </c>
      <c r="B109" s="16" t="s">
        <v>133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6"/>
      <c r="O109" s="35"/>
    </row>
    <row r="110" ht="36.0" customHeight="1">
      <c r="A110" s="21" t="s">
        <v>131</v>
      </c>
      <c r="B110" s="16" t="s">
        <v>134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6"/>
      <c r="O110" s="35"/>
    </row>
    <row r="111" ht="36.0" customHeight="1">
      <c r="A111" s="21" t="s">
        <v>131</v>
      </c>
      <c r="B111" s="16" t="s">
        <v>135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6"/>
      <c r="O111" s="35"/>
    </row>
    <row r="112" ht="36.0" customHeight="1">
      <c r="A112" s="21" t="s">
        <v>131</v>
      </c>
      <c r="B112" s="16" t="s">
        <v>136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6"/>
      <c r="O112" s="35"/>
    </row>
    <row r="113" ht="36.0" customHeight="1">
      <c r="A113" s="21" t="s">
        <v>131</v>
      </c>
      <c r="B113" s="16" t="s">
        <v>137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6"/>
      <c r="O113" s="35"/>
    </row>
    <row r="114" ht="36.0" customHeight="1">
      <c r="A114" s="21" t="s">
        <v>131</v>
      </c>
      <c r="B114" s="16" t="s">
        <v>138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6"/>
      <c r="O114" s="35"/>
    </row>
    <row r="115" ht="36.0" customHeight="1">
      <c r="A115" s="21" t="s">
        <v>131</v>
      </c>
      <c r="B115" s="16" t="s">
        <v>139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6"/>
      <c r="O115" s="35"/>
    </row>
    <row r="116" ht="36.0" customHeight="1">
      <c r="A116" s="21" t="s">
        <v>131</v>
      </c>
      <c r="B116" s="16" t="s">
        <v>140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6"/>
      <c r="O116" s="35"/>
    </row>
    <row r="117" ht="36.0" customHeight="1">
      <c r="A117" s="21" t="s">
        <v>131</v>
      </c>
      <c r="B117" s="16" t="s">
        <v>141</v>
      </c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6"/>
      <c r="O117" s="35"/>
    </row>
    <row r="118" ht="36.0" customHeight="1">
      <c r="A118" s="21" t="s">
        <v>131</v>
      </c>
      <c r="B118" s="16" t="s">
        <v>142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6"/>
      <c r="O118" s="35"/>
    </row>
    <row r="119" ht="36.0" customHeight="1">
      <c r="A119" s="21" t="s">
        <v>131</v>
      </c>
      <c r="B119" s="16" t="s">
        <v>143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6"/>
      <c r="O119" s="35"/>
    </row>
    <row r="120" ht="36.0" customHeight="1">
      <c r="A120" s="21" t="s">
        <v>131</v>
      </c>
      <c r="B120" s="16" t="s">
        <v>144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6"/>
      <c r="O120" s="35"/>
    </row>
    <row r="121" ht="36.0" customHeight="1">
      <c r="A121" s="21" t="s">
        <v>131</v>
      </c>
      <c r="B121" s="16" t="s">
        <v>145</v>
      </c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6"/>
      <c r="O121" s="35"/>
    </row>
    <row r="122" ht="36.0" customHeight="1">
      <c r="A122" s="21" t="s">
        <v>131</v>
      </c>
      <c r="B122" s="16" t="s">
        <v>146</v>
      </c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6"/>
      <c r="O122" s="35"/>
    </row>
    <row r="123" ht="36.0" customHeight="1">
      <c r="A123" s="21" t="s">
        <v>131</v>
      </c>
      <c r="B123" s="16" t="s">
        <v>147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6"/>
      <c r="O123" s="35"/>
    </row>
    <row r="124" ht="36.0" customHeight="1">
      <c r="A124" s="21" t="s">
        <v>131</v>
      </c>
      <c r="B124" s="16" t="s">
        <v>148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6"/>
      <c r="O124" s="35"/>
    </row>
    <row r="125" ht="36.0" customHeight="1">
      <c r="A125" s="21" t="s">
        <v>131</v>
      </c>
      <c r="B125" s="16" t="s">
        <v>149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6"/>
      <c r="O125" s="35"/>
    </row>
    <row r="126" ht="36.0" customHeight="1">
      <c r="A126" s="21" t="s">
        <v>131</v>
      </c>
      <c r="B126" s="16" t="s">
        <v>150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6"/>
      <c r="O126" s="35"/>
    </row>
    <row r="127" ht="36.0" customHeight="1">
      <c r="A127" s="21" t="s">
        <v>151</v>
      </c>
      <c r="B127" s="16" t="s">
        <v>152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6"/>
      <c r="O127" s="35"/>
    </row>
    <row r="128" ht="36.0" customHeight="1">
      <c r="A128" s="21" t="s">
        <v>151</v>
      </c>
      <c r="B128" s="16" t="s">
        <v>153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6"/>
      <c r="O128" s="35"/>
    </row>
    <row r="129" ht="36.0" customHeight="1">
      <c r="A129" s="21" t="s">
        <v>151</v>
      </c>
      <c r="B129" s="16" t="s">
        <v>154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6"/>
      <c r="O129" s="35"/>
    </row>
    <row r="130" ht="36.0" customHeight="1">
      <c r="A130" s="21" t="s">
        <v>151</v>
      </c>
      <c r="B130" s="16" t="s">
        <v>155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6"/>
      <c r="O130" s="35"/>
    </row>
    <row r="131" ht="36.0" customHeight="1">
      <c r="A131" s="21" t="s">
        <v>151</v>
      </c>
      <c r="B131" s="16" t="s">
        <v>156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6"/>
      <c r="O131" s="35"/>
    </row>
    <row r="132" ht="36.0" customHeight="1">
      <c r="A132" s="21" t="s">
        <v>151</v>
      </c>
      <c r="B132" s="16" t="s">
        <v>157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6"/>
      <c r="O132" s="35"/>
    </row>
    <row r="133" ht="36.0" customHeight="1">
      <c r="A133" s="21" t="s">
        <v>151</v>
      </c>
      <c r="B133" s="16" t="s">
        <v>158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6"/>
      <c r="O133" s="35"/>
    </row>
    <row r="134" ht="36.0" customHeight="1">
      <c r="A134" s="21" t="s">
        <v>151</v>
      </c>
      <c r="B134" s="16" t="s">
        <v>159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6"/>
      <c r="O134" s="35"/>
    </row>
    <row r="135" ht="36.0" customHeight="1">
      <c r="A135" s="21" t="s">
        <v>151</v>
      </c>
      <c r="B135" s="16" t="s">
        <v>160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6"/>
      <c r="O135" s="35"/>
    </row>
    <row r="136" ht="36.0" customHeight="1">
      <c r="A136" s="21" t="s">
        <v>151</v>
      </c>
      <c r="B136" s="16" t="s">
        <v>161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6"/>
      <c r="O136" s="35"/>
    </row>
    <row r="137" ht="36.0" customHeight="1">
      <c r="A137" s="21" t="s">
        <v>151</v>
      </c>
      <c r="B137" s="16" t="s">
        <v>162</v>
      </c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6"/>
      <c r="O137" s="35"/>
    </row>
    <row r="138" ht="36.0" customHeight="1">
      <c r="A138" s="21" t="s">
        <v>151</v>
      </c>
      <c r="B138" s="16" t="s">
        <v>163</v>
      </c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6"/>
      <c r="O138" s="35"/>
    </row>
    <row r="139" ht="36.0" customHeight="1">
      <c r="A139" s="22" t="s">
        <v>164</v>
      </c>
      <c r="B139" s="16" t="s">
        <v>165</v>
      </c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6"/>
      <c r="O139" s="35"/>
    </row>
    <row r="140" ht="36.0" customHeight="1">
      <c r="A140" s="22" t="s">
        <v>164</v>
      </c>
      <c r="B140" s="16" t="s">
        <v>166</v>
      </c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6"/>
      <c r="O140" s="35"/>
    </row>
    <row r="141" ht="36.0" customHeight="1">
      <c r="A141" s="22" t="s">
        <v>164</v>
      </c>
      <c r="B141" s="16" t="s">
        <v>167</v>
      </c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6"/>
      <c r="O141" s="35"/>
    </row>
    <row r="142" ht="36.0" customHeight="1">
      <c r="A142" s="22" t="s">
        <v>164</v>
      </c>
      <c r="B142" s="16" t="s">
        <v>168</v>
      </c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6"/>
      <c r="O142" s="35"/>
    </row>
    <row r="143" ht="36.0" customHeight="1">
      <c r="A143" s="22" t="s">
        <v>164</v>
      </c>
      <c r="B143" s="16" t="s">
        <v>169</v>
      </c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6"/>
      <c r="O143" s="35"/>
    </row>
    <row r="144" ht="36.0" customHeight="1">
      <c r="A144" s="22" t="s">
        <v>164</v>
      </c>
      <c r="B144" s="16" t="s">
        <v>170</v>
      </c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6"/>
      <c r="O144" s="35"/>
    </row>
    <row r="145" ht="36.0" customHeight="1">
      <c r="A145" s="22" t="s">
        <v>164</v>
      </c>
      <c r="B145" s="16" t="s">
        <v>171</v>
      </c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6"/>
      <c r="O145" s="35"/>
    </row>
    <row r="146" ht="36.0" customHeight="1">
      <c r="A146" s="22" t="s">
        <v>164</v>
      </c>
      <c r="B146" s="16" t="s">
        <v>172</v>
      </c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6"/>
      <c r="O146" s="35"/>
    </row>
    <row r="147" ht="36.0" customHeight="1">
      <c r="A147" s="22" t="s">
        <v>164</v>
      </c>
      <c r="B147" s="16" t="s">
        <v>173</v>
      </c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6"/>
      <c r="O147" s="35"/>
    </row>
    <row r="148" ht="36.0" customHeight="1">
      <c r="A148" s="22" t="s">
        <v>174</v>
      </c>
      <c r="B148" s="16" t="s">
        <v>175</v>
      </c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6"/>
      <c r="O148" s="35"/>
    </row>
    <row r="149" ht="36.0" customHeight="1">
      <c r="A149" s="22" t="s">
        <v>174</v>
      </c>
      <c r="B149" s="16" t="s">
        <v>176</v>
      </c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6"/>
      <c r="O149" s="35"/>
    </row>
    <row r="150" ht="36.0" customHeight="1">
      <c r="A150" s="22" t="s">
        <v>174</v>
      </c>
      <c r="B150" s="16" t="s">
        <v>177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6"/>
      <c r="O150" s="35"/>
    </row>
    <row r="151" ht="36.0" customHeight="1">
      <c r="A151" s="22" t="s">
        <v>174</v>
      </c>
      <c r="B151" s="16" t="s">
        <v>178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6"/>
      <c r="O151" s="35"/>
    </row>
    <row r="152" ht="36.0" customHeight="1">
      <c r="A152" s="22" t="s">
        <v>174</v>
      </c>
      <c r="B152" s="16" t="s">
        <v>179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6"/>
      <c r="O152" s="35"/>
    </row>
    <row r="153" ht="36.0" customHeight="1">
      <c r="A153" s="22" t="s">
        <v>174</v>
      </c>
      <c r="B153" s="16" t="s">
        <v>180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6"/>
      <c r="O153" s="35"/>
    </row>
    <row r="154" ht="36.0" customHeight="1">
      <c r="A154" s="22" t="s">
        <v>174</v>
      </c>
      <c r="B154" s="16" t="s">
        <v>181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6"/>
      <c r="O154" s="35"/>
    </row>
    <row r="155" ht="36.0" customHeight="1">
      <c r="A155" s="22" t="s">
        <v>174</v>
      </c>
      <c r="B155" s="16" t="s">
        <v>182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6"/>
      <c r="O155" s="35"/>
    </row>
    <row r="156" ht="36.0" customHeight="1">
      <c r="A156" s="22" t="s">
        <v>174</v>
      </c>
      <c r="B156" s="16" t="s">
        <v>183</v>
      </c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6"/>
      <c r="O156" s="35"/>
    </row>
    <row r="157" ht="36.0" customHeight="1">
      <c r="A157" s="22" t="s">
        <v>174</v>
      </c>
      <c r="B157" s="16" t="s">
        <v>184</v>
      </c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6"/>
      <c r="O157" s="35"/>
    </row>
    <row r="158" ht="36.0" customHeight="1">
      <c r="A158" s="22" t="s">
        <v>174</v>
      </c>
      <c r="B158" s="16" t="s">
        <v>185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6"/>
      <c r="O158" s="35"/>
    </row>
    <row r="159" ht="36.0" customHeight="1">
      <c r="A159" s="19" t="s">
        <v>186</v>
      </c>
      <c r="B159" s="16" t="s">
        <v>187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6"/>
      <c r="O159" s="35"/>
    </row>
    <row r="160" ht="36.0" customHeight="1">
      <c r="A160" s="19" t="s">
        <v>186</v>
      </c>
      <c r="B160" s="16" t="s">
        <v>188</v>
      </c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6"/>
      <c r="O160" s="35"/>
    </row>
    <row r="161" ht="36.0" customHeight="1">
      <c r="A161" s="19" t="s">
        <v>186</v>
      </c>
      <c r="B161" s="16" t="s">
        <v>189</v>
      </c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6"/>
      <c r="O161" s="35"/>
    </row>
    <row r="162" ht="36.0" customHeight="1">
      <c r="A162" s="19" t="s">
        <v>186</v>
      </c>
      <c r="B162" s="16" t="s">
        <v>190</v>
      </c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6"/>
      <c r="O162" s="35"/>
    </row>
    <row r="163" ht="36.0" customHeight="1">
      <c r="A163" s="19" t="s">
        <v>186</v>
      </c>
      <c r="B163" s="16" t="s">
        <v>191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6"/>
      <c r="O163" s="35"/>
    </row>
    <row r="164" ht="36.0" customHeight="1">
      <c r="A164" s="19" t="s">
        <v>186</v>
      </c>
      <c r="B164" s="16" t="s">
        <v>192</v>
      </c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6"/>
      <c r="O164" s="35"/>
    </row>
    <row r="165" ht="36.0" customHeight="1">
      <c r="A165" s="19" t="s">
        <v>186</v>
      </c>
      <c r="B165" s="16" t="s">
        <v>193</v>
      </c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6"/>
      <c r="O165" s="35"/>
    </row>
    <row r="166" ht="36.0" customHeight="1">
      <c r="A166" s="19" t="s">
        <v>186</v>
      </c>
      <c r="B166" s="16" t="s">
        <v>194</v>
      </c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6"/>
      <c r="O166" s="35"/>
    </row>
    <row r="167" ht="36.0" customHeight="1">
      <c r="A167" s="19" t="s">
        <v>186</v>
      </c>
      <c r="B167" s="16" t="s">
        <v>195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6"/>
      <c r="O167" s="35"/>
    </row>
    <row r="168" ht="36.0" customHeight="1">
      <c r="A168" s="19" t="s">
        <v>186</v>
      </c>
      <c r="B168" s="16" t="s">
        <v>196</v>
      </c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6"/>
      <c r="O168" s="35"/>
    </row>
    <row r="169" ht="36.0" customHeight="1">
      <c r="A169" s="19" t="s">
        <v>186</v>
      </c>
      <c r="B169" s="16" t="s">
        <v>197</v>
      </c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6"/>
      <c r="O169" s="35"/>
    </row>
    <row r="170" ht="36.0" customHeight="1">
      <c r="A170" s="19" t="s">
        <v>186</v>
      </c>
      <c r="B170" s="16" t="s">
        <v>198</v>
      </c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6"/>
      <c r="O170" s="35"/>
    </row>
    <row r="171" ht="36.0" customHeight="1">
      <c r="A171" s="19" t="s">
        <v>186</v>
      </c>
      <c r="B171" s="16" t="s">
        <v>199</v>
      </c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6"/>
      <c r="O171" s="35"/>
    </row>
    <row r="172" ht="36.0" customHeight="1">
      <c r="A172" s="19" t="s">
        <v>186</v>
      </c>
      <c r="B172" s="16" t="s">
        <v>200</v>
      </c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6"/>
      <c r="O172" s="35"/>
    </row>
    <row r="173" ht="36.0" customHeight="1">
      <c r="A173" s="19" t="s">
        <v>186</v>
      </c>
      <c r="B173" s="16" t="s">
        <v>201</v>
      </c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6"/>
      <c r="O173" s="35"/>
    </row>
    <row r="174" ht="36.0" customHeight="1">
      <c r="A174" s="19" t="s">
        <v>186</v>
      </c>
      <c r="B174" s="16" t="s">
        <v>202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6"/>
      <c r="O174" s="35"/>
    </row>
    <row r="175" ht="36.0" customHeight="1">
      <c r="A175" s="19" t="s">
        <v>203</v>
      </c>
      <c r="B175" s="2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6"/>
      <c r="O175" s="35"/>
    </row>
    <row r="176" ht="36.0" customHeight="1">
      <c r="A176" s="19" t="s">
        <v>204</v>
      </c>
      <c r="B176" s="16" t="s">
        <v>205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6"/>
      <c r="O176" s="35"/>
    </row>
    <row r="177" ht="36.0" customHeight="1">
      <c r="A177" s="19" t="s">
        <v>204</v>
      </c>
      <c r="B177" s="16" t="s">
        <v>206</v>
      </c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6"/>
      <c r="O177" s="35"/>
    </row>
    <row r="178" ht="36.0" customHeight="1">
      <c r="A178" s="19" t="s">
        <v>204</v>
      </c>
      <c r="B178" s="16" t="s">
        <v>207</v>
      </c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6"/>
      <c r="O178" s="35"/>
    </row>
    <row r="179" ht="36.0" customHeight="1">
      <c r="A179" s="19" t="s">
        <v>204</v>
      </c>
      <c r="B179" s="16" t="s">
        <v>208</v>
      </c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6"/>
      <c r="O179" s="35"/>
    </row>
    <row r="180" ht="36.0" customHeight="1">
      <c r="A180" s="19" t="s">
        <v>204</v>
      </c>
      <c r="B180" s="16" t="s">
        <v>209</v>
      </c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6"/>
      <c r="O180" s="35"/>
    </row>
    <row r="181" ht="36.0" customHeight="1">
      <c r="A181" s="19" t="s">
        <v>204</v>
      </c>
      <c r="B181" s="16" t="s">
        <v>210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6"/>
      <c r="O181" s="35"/>
    </row>
    <row r="182" ht="36.0" customHeight="1">
      <c r="A182" s="19" t="s">
        <v>204</v>
      </c>
      <c r="B182" s="16" t="s">
        <v>211</v>
      </c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6"/>
      <c r="O182" s="35"/>
    </row>
    <row r="183" ht="36.0" customHeight="1">
      <c r="A183" s="19" t="s">
        <v>204</v>
      </c>
      <c r="B183" s="16" t="s">
        <v>212</v>
      </c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6"/>
      <c r="O183" s="35"/>
    </row>
    <row r="184" ht="36.0" customHeight="1">
      <c r="A184" s="24" t="s">
        <v>213</v>
      </c>
      <c r="B184" s="16" t="s">
        <v>214</v>
      </c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6"/>
      <c r="O184" s="35"/>
    </row>
    <row r="185" ht="36.0" customHeight="1">
      <c r="A185" s="24" t="s">
        <v>213</v>
      </c>
      <c r="B185" s="16" t="s">
        <v>215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6"/>
      <c r="O185" s="35"/>
    </row>
    <row r="186" ht="36.0" customHeight="1">
      <c r="A186" s="24" t="s">
        <v>213</v>
      </c>
      <c r="B186" s="16" t="s">
        <v>216</v>
      </c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6"/>
      <c r="O186" s="35"/>
    </row>
    <row r="187" ht="36.0" customHeight="1">
      <c r="A187" s="24" t="s">
        <v>213</v>
      </c>
      <c r="B187" s="16" t="s">
        <v>217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6"/>
      <c r="O187" s="35"/>
    </row>
    <row r="188" ht="36.0" customHeight="1">
      <c r="A188" s="24" t="s">
        <v>213</v>
      </c>
      <c r="B188" s="16" t="s">
        <v>218</v>
      </c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6"/>
      <c r="O188" s="35"/>
    </row>
    <row r="189" ht="36.0" customHeight="1">
      <c r="A189" s="24" t="s">
        <v>213</v>
      </c>
      <c r="B189" s="16" t="s">
        <v>219</v>
      </c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6"/>
      <c r="O189" s="35"/>
    </row>
    <row r="190" ht="36.0" customHeight="1">
      <c r="A190" s="24" t="s">
        <v>213</v>
      </c>
      <c r="B190" s="16" t="s">
        <v>220</v>
      </c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6"/>
      <c r="O190" s="35"/>
    </row>
    <row r="191" ht="36.0" customHeight="1">
      <c r="A191" s="24" t="s">
        <v>213</v>
      </c>
      <c r="B191" s="16" t="s">
        <v>221</v>
      </c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6"/>
      <c r="O191" s="35"/>
    </row>
    <row r="192" ht="36.0" customHeight="1">
      <c r="A192" s="24" t="s">
        <v>213</v>
      </c>
      <c r="B192" s="16" t="s">
        <v>222</v>
      </c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6"/>
      <c r="O192" s="35"/>
    </row>
    <row r="193" ht="36.0" customHeight="1">
      <c r="A193" s="24" t="s">
        <v>213</v>
      </c>
      <c r="B193" s="16" t="s">
        <v>223</v>
      </c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6"/>
      <c r="O193" s="35"/>
    </row>
    <row r="194" ht="36.0" customHeight="1">
      <c r="A194" s="24" t="s">
        <v>213</v>
      </c>
      <c r="B194" s="16" t="s">
        <v>224</v>
      </c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6"/>
      <c r="O194" s="35"/>
    </row>
    <row r="195" ht="36.0" customHeight="1">
      <c r="A195" s="24" t="s">
        <v>213</v>
      </c>
      <c r="B195" s="16" t="s">
        <v>225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6"/>
      <c r="O195" s="35"/>
    </row>
    <row r="196" ht="36.0" customHeight="1">
      <c r="A196" s="24" t="s">
        <v>226</v>
      </c>
      <c r="B196" s="16" t="s">
        <v>227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6"/>
      <c r="O196" s="35"/>
    </row>
    <row r="197" ht="36.0" customHeight="1">
      <c r="A197" s="24" t="s">
        <v>226</v>
      </c>
      <c r="B197" s="16" t="s">
        <v>228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6"/>
      <c r="O197" s="35"/>
    </row>
    <row r="198" ht="36.0" customHeight="1">
      <c r="A198" s="24" t="s">
        <v>226</v>
      </c>
      <c r="B198" s="16" t="s">
        <v>229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6"/>
      <c r="O198" s="35"/>
    </row>
    <row r="199" ht="36.0" customHeight="1">
      <c r="A199" s="24" t="s">
        <v>226</v>
      </c>
      <c r="B199" s="16" t="s">
        <v>230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6"/>
      <c r="O199" s="35"/>
    </row>
    <row r="200" ht="36.0" customHeight="1">
      <c r="A200" s="24" t="s">
        <v>226</v>
      </c>
      <c r="B200" s="16" t="s">
        <v>231</v>
      </c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6"/>
      <c r="O200" s="35"/>
    </row>
    <row r="201" ht="36.0" customHeight="1">
      <c r="A201" s="24" t="s">
        <v>226</v>
      </c>
      <c r="B201" s="16" t="s">
        <v>232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6"/>
      <c r="O201" s="35"/>
    </row>
    <row r="202" ht="36.0" customHeight="1">
      <c r="A202" s="24" t="s">
        <v>226</v>
      </c>
      <c r="B202" s="16" t="s">
        <v>233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6"/>
      <c r="O202" s="35"/>
    </row>
    <row r="203" ht="36.0" customHeight="1">
      <c r="A203" s="24" t="s">
        <v>226</v>
      </c>
      <c r="B203" s="16" t="s">
        <v>234</v>
      </c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6"/>
      <c r="O203" s="35"/>
    </row>
    <row r="204" ht="36.0" customHeight="1">
      <c r="A204" s="24" t="s">
        <v>226</v>
      </c>
      <c r="B204" s="16" t="s">
        <v>235</v>
      </c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6"/>
      <c r="O204" s="35"/>
    </row>
    <row r="205" ht="36.0" customHeight="1">
      <c r="A205" s="24" t="s">
        <v>226</v>
      </c>
      <c r="B205" s="16" t="s">
        <v>236</v>
      </c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6"/>
      <c r="O205" s="35"/>
    </row>
    <row r="206" ht="36.0" customHeight="1">
      <c r="A206" s="24" t="s">
        <v>226</v>
      </c>
      <c r="B206" s="16" t="s">
        <v>237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6"/>
      <c r="O206" s="35"/>
    </row>
    <row r="207" ht="36.0" customHeight="1">
      <c r="A207" s="24" t="s">
        <v>226</v>
      </c>
      <c r="B207" s="16" t="s">
        <v>238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6"/>
      <c r="O207" s="35"/>
    </row>
    <row r="208" ht="36.0" customHeight="1">
      <c r="A208" s="24" t="s">
        <v>226</v>
      </c>
      <c r="B208" s="16" t="s">
        <v>239</v>
      </c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6"/>
      <c r="O208" s="35"/>
    </row>
    <row r="209" ht="36.0" customHeight="1">
      <c r="A209" s="25" t="s">
        <v>240</v>
      </c>
      <c r="B209" s="16" t="s">
        <v>241</v>
      </c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6"/>
      <c r="O209" s="35"/>
    </row>
    <row r="210" ht="36.0" customHeight="1">
      <c r="A210" s="25" t="s">
        <v>240</v>
      </c>
      <c r="B210" s="16" t="s">
        <v>242</v>
      </c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6"/>
      <c r="O210" s="35"/>
    </row>
    <row r="211" ht="36.0" customHeight="1">
      <c r="A211" s="25" t="s">
        <v>240</v>
      </c>
      <c r="B211" s="16" t="s">
        <v>243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6"/>
      <c r="O211" s="35"/>
    </row>
    <row r="212" ht="36.0" customHeight="1">
      <c r="A212" s="25" t="s">
        <v>240</v>
      </c>
      <c r="B212" s="16" t="s">
        <v>244</v>
      </c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6"/>
      <c r="O212" s="35"/>
    </row>
    <row r="213" ht="36.0" customHeight="1">
      <c r="A213" s="25" t="s">
        <v>240</v>
      </c>
      <c r="B213" s="16" t="s">
        <v>245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6"/>
      <c r="O213" s="35"/>
    </row>
    <row r="214" ht="36.0" customHeight="1">
      <c r="A214" s="25" t="s">
        <v>240</v>
      </c>
      <c r="B214" s="16" t="s">
        <v>246</v>
      </c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6"/>
      <c r="O214" s="35"/>
    </row>
    <row r="215" ht="15.75" customHeight="1">
      <c r="A215" s="15"/>
      <c r="B215" s="37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ht="15.75" customHeight="1">
      <c r="A216" s="15"/>
      <c r="B216" s="3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</row>
    <row r="217" ht="15.75" customHeight="1">
      <c r="A217" s="15"/>
      <c r="B217" s="37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ht="15.75" customHeight="1">
      <c r="A218" s="15"/>
      <c r="B218" s="3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</row>
    <row r="219" ht="15.75" customHeight="1">
      <c r="A219" s="15"/>
      <c r="B219" s="37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</row>
    <row r="220" ht="15.75" customHeight="1">
      <c r="A220" s="15"/>
      <c r="B220" s="3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</row>
    <row r="221" ht="15.75" customHeight="1">
      <c r="A221" s="15"/>
      <c r="B221" s="37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</row>
    <row r="222" ht="15.75" customHeight="1">
      <c r="A222" s="15"/>
      <c r="B222" s="3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</row>
    <row r="223" ht="15.75" customHeight="1">
      <c r="A223" s="15"/>
      <c r="B223" s="37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</row>
    <row r="224" ht="15.75" customHeight="1">
      <c r="A224" s="15"/>
      <c r="B224" s="3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</row>
    <row r="225" ht="15.75" customHeight="1">
      <c r="A225" s="15"/>
      <c r="B225" s="37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ht="15.75" customHeight="1">
      <c r="A226" s="15"/>
      <c r="B226" s="3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</row>
    <row r="227" ht="15.75" customHeight="1">
      <c r="A227" s="15"/>
      <c r="B227" s="37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</row>
    <row r="228" ht="15.75" customHeight="1">
      <c r="A228" s="15"/>
      <c r="B228" s="3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ht="15.75" customHeight="1">
      <c r="A229" s="15"/>
      <c r="B229" s="37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ht="15.75" customHeight="1">
      <c r="A230" s="15"/>
      <c r="B230" s="3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</row>
    <row r="231" ht="15.75" customHeight="1">
      <c r="A231" s="15"/>
      <c r="B231" s="37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</row>
    <row r="232" ht="15.75" customHeight="1">
      <c r="A232" s="15"/>
      <c r="B232" s="3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</row>
    <row r="233" ht="15.75" customHeight="1">
      <c r="A233" s="15"/>
      <c r="B233" s="37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</row>
    <row r="234" ht="15.75" customHeight="1">
      <c r="A234" s="15"/>
      <c r="B234" s="3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</row>
    <row r="235" ht="15.75" customHeight="1">
      <c r="A235" s="15"/>
      <c r="B235" s="37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</row>
    <row r="236" ht="15.75" customHeight="1">
      <c r="A236" s="15"/>
      <c r="B236" s="3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</row>
    <row r="237" ht="15.75" customHeight="1">
      <c r="A237" s="15"/>
      <c r="B237" s="37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</row>
    <row r="238" ht="15.75" customHeight="1">
      <c r="A238" s="15"/>
      <c r="B238" s="3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</row>
    <row r="239" ht="15.75" customHeight="1">
      <c r="A239" s="15"/>
      <c r="B239" s="37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</row>
    <row r="240" ht="15.75" customHeight="1">
      <c r="A240" s="15"/>
      <c r="B240" s="3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</row>
    <row r="241" ht="15.75" customHeight="1">
      <c r="A241" s="15"/>
      <c r="B241" s="37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</row>
    <row r="242" ht="15.75" customHeight="1">
      <c r="A242" s="15"/>
      <c r="B242" s="3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</row>
    <row r="243" ht="15.75" customHeight="1">
      <c r="A243" s="15"/>
      <c r="B243" s="37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</row>
    <row r="244" ht="15.75" customHeight="1">
      <c r="A244" s="15"/>
      <c r="B244" s="3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ht="15.75" customHeight="1">
      <c r="A245" s="15"/>
      <c r="B245" s="37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</row>
    <row r="246" ht="15.75" customHeight="1">
      <c r="A246" s="15"/>
      <c r="B246" s="3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</row>
    <row r="247" ht="15.75" customHeight="1">
      <c r="A247" s="15"/>
      <c r="B247" s="37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</row>
    <row r="248" ht="15.75" customHeight="1">
      <c r="A248" s="15"/>
      <c r="B248" s="3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</row>
    <row r="249" ht="15.75" customHeight="1">
      <c r="A249" s="15"/>
      <c r="B249" s="37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</row>
    <row r="250" ht="15.75" customHeight="1">
      <c r="A250" s="15"/>
      <c r="B250" s="3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</row>
    <row r="251" ht="15.75" customHeight="1">
      <c r="A251" s="15"/>
      <c r="B251" s="37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ht="15.75" customHeight="1">
      <c r="A252" s="15"/>
      <c r="B252" s="3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</row>
    <row r="253" ht="15.75" customHeight="1">
      <c r="A253" s="15"/>
      <c r="B253" s="37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</row>
    <row r="254" ht="15.75" customHeight="1">
      <c r="A254" s="15"/>
      <c r="B254" s="3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ht="15.75" customHeight="1">
      <c r="A255" s="15"/>
      <c r="B255" s="37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</row>
    <row r="256" ht="15.75" customHeight="1">
      <c r="A256" s="15"/>
      <c r="B256" s="3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</row>
    <row r="257" ht="15.75" customHeight="1">
      <c r="A257" s="15"/>
      <c r="B257" s="37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</row>
    <row r="258" ht="15.75" customHeight="1">
      <c r="A258" s="15"/>
      <c r="B258" s="3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</row>
    <row r="259" ht="15.75" customHeight="1">
      <c r="A259" s="15"/>
      <c r="B259" s="37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</row>
    <row r="260" ht="15.75" customHeight="1">
      <c r="A260" s="15"/>
      <c r="B260" s="3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</row>
    <row r="261" ht="15.75" customHeight="1">
      <c r="A261" s="15"/>
      <c r="B261" s="37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</row>
    <row r="262" ht="15.75" customHeight="1">
      <c r="A262" s="15"/>
      <c r="B262" s="3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</row>
    <row r="263" ht="15.75" customHeight="1">
      <c r="A263" s="15"/>
      <c r="B263" s="37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</row>
    <row r="264" ht="15.75" customHeight="1">
      <c r="A264" s="15"/>
      <c r="B264" s="3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ht="15.75" customHeight="1">
      <c r="A265" s="15"/>
      <c r="B265" s="37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</row>
    <row r="266" ht="15.75" customHeight="1">
      <c r="A266" s="15"/>
      <c r="B266" s="3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ht="15.75" customHeight="1">
      <c r="A267" s="15"/>
      <c r="B267" s="37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</row>
    <row r="268" ht="15.75" customHeight="1">
      <c r="A268" s="15"/>
      <c r="B268" s="3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ht="15.75" customHeight="1">
      <c r="A269" s="15"/>
      <c r="B269" s="37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</row>
    <row r="270" ht="15.75" customHeight="1">
      <c r="A270" s="15"/>
      <c r="B270" s="3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</row>
    <row r="271" ht="15.75" customHeight="1">
      <c r="A271" s="15"/>
      <c r="B271" s="37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</row>
    <row r="272" ht="15.75" customHeight="1">
      <c r="A272" s="15"/>
      <c r="B272" s="3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ht="15.75" customHeight="1">
      <c r="A273" s="15"/>
      <c r="B273" s="37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</row>
    <row r="274" ht="15.75" customHeight="1">
      <c r="A274" s="15"/>
      <c r="B274" s="3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</row>
    <row r="275" ht="15.75" customHeight="1">
      <c r="A275" s="15"/>
      <c r="B275" s="37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</row>
    <row r="276" ht="15.75" customHeight="1">
      <c r="A276" s="15"/>
      <c r="B276" s="3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ht="15.75" customHeight="1">
      <c r="A277" s="15"/>
      <c r="B277" s="37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</row>
    <row r="278" ht="15.75" customHeight="1">
      <c r="A278" s="15"/>
      <c r="B278" s="3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</row>
    <row r="279" ht="15.75" customHeight="1">
      <c r="A279" s="15"/>
      <c r="B279" s="37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</row>
    <row r="280" ht="15.75" customHeight="1">
      <c r="A280" s="15"/>
      <c r="B280" s="3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ht="15.75" customHeight="1">
      <c r="A281" s="15"/>
      <c r="B281" s="37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</row>
    <row r="282" ht="15.75" customHeight="1">
      <c r="A282" s="15"/>
      <c r="B282" s="3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ht="15.75" customHeight="1">
      <c r="A283" s="15"/>
      <c r="B283" s="37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</row>
    <row r="284" ht="15.75" customHeight="1">
      <c r="A284" s="15"/>
      <c r="B284" s="3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</row>
    <row r="285" ht="15.75" customHeight="1">
      <c r="A285" s="15"/>
      <c r="B285" s="37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ht="15.75" customHeight="1">
      <c r="A286" s="15"/>
      <c r="B286" s="3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</row>
    <row r="287" ht="15.75" customHeight="1">
      <c r="A287" s="15"/>
      <c r="B287" s="37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</row>
    <row r="288" ht="15.75" customHeight="1">
      <c r="A288" s="15"/>
      <c r="B288" s="3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</row>
    <row r="289" ht="15.75" customHeight="1">
      <c r="A289" s="15"/>
      <c r="B289" s="37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</row>
    <row r="290" ht="15.75" customHeight="1">
      <c r="A290" s="15"/>
      <c r="B290" s="3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</row>
    <row r="291" ht="15.75" customHeight="1">
      <c r="A291" s="15"/>
      <c r="B291" s="37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</row>
    <row r="292" ht="15.75" customHeight="1">
      <c r="A292" s="15"/>
      <c r="B292" s="3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</row>
    <row r="293" ht="15.75" customHeight="1">
      <c r="A293" s="15"/>
      <c r="B293" s="37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ht="15.75" customHeight="1">
      <c r="A294" s="15"/>
      <c r="B294" s="3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</row>
    <row r="295" ht="15.75" customHeight="1">
      <c r="A295" s="15"/>
      <c r="B295" s="37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</row>
    <row r="296" ht="15.75" customHeight="1">
      <c r="A296" s="15"/>
      <c r="B296" s="3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</row>
    <row r="297" ht="15.75" customHeight="1">
      <c r="A297" s="15"/>
      <c r="B297" s="37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ht="15.75" customHeight="1">
      <c r="A298" s="15"/>
      <c r="B298" s="3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</row>
    <row r="299" ht="15.75" customHeight="1">
      <c r="A299" s="15"/>
      <c r="B299" s="37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</row>
    <row r="300" ht="15.75" customHeight="1">
      <c r="A300" s="15"/>
      <c r="B300" s="3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</row>
    <row r="301" ht="15.75" customHeight="1">
      <c r="A301" s="15"/>
      <c r="B301" s="37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</row>
    <row r="302" ht="15.75" customHeight="1">
      <c r="A302" s="15"/>
      <c r="B302" s="3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</row>
    <row r="303" ht="15.75" customHeight="1">
      <c r="A303" s="15"/>
      <c r="B303" s="37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ht="15.75" customHeight="1">
      <c r="A304" s="15"/>
      <c r="B304" s="3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</row>
    <row r="305" ht="15.75" customHeight="1">
      <c r="A305" s="15"/>
      <c r="B305" s="37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</row>
    <row r="306" ht="15.75" customHeight="1">
      <c r="A306" s="15"/>
      <c r="B306" s="3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</row>
    <row r="307" ht="15.75" customHeight="1">
      <c r="A307" s="15"/>
      <c r="B307" s="37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</row>
    <row r="308" ht="15.75" customHeight="1">
      <c r="A308" s="15"/>
      <c r="B308" s="3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</row>
    <row r="309" ht="15.75" customHeight="1">
      <c r="A309" s="15"/>
      <c r="B309" s="37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</row>
    <row r="310" ht="15.75" customHeight="1">
      <c r="A310" s="15"/>
      <c r="B310" s="3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</row>
    <row r="311" ht="15.75" customHeight="1">
      <c r="A311" s="15"/>
      <c r="B311" s="37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</row>
    <row r="312" ht="15.75" customHeight="1">
      <c r="A312" s="15"/>
      <c r="B312" s="3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</row>
    <row r="313" ht="15.75" customHeight="1">
      <c r="A313" s="15"/>
      <c r="B313" s="37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</row>
    <row r="314" ht="15.75" customHeight="1">
      <c r="A314" s="15"/>
      <c r="B314" s="3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ht="15.75" customHeight="1">
      <c r="A315" s="15"/>
      <c r="B315" s="37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</row>
    <row r="316" ht="15.75" customHeight="1">
      <c r="A316" s="15"/>
      <c r="B316" s="3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</row>
    <row r="317" ht="15.75" customHeight="1">
      <c r="A317" s="15"/>
      <c r="B317" s="37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</row>
    <row r="318" ht="15.75" customHeight="1">
      <c r="A318" s="15"/>
      <c r="B318" s="3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</row>
    <row r="319" ht="15.75" customHeight="1">
      <c r="A319" s="15"/>
      <c r="B319" s="37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</row>
    <row r="320" ht="15.75" customHeight="1">
      <c r="A320" s="15"/>
      <c r="B320" s="3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</row>
    <row r="321" ht="15.75" customHeight="1">
      <c r="A321" s="15"/>
      <c r="B321" s="37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</row>
    <row r="322" ht="15.75" customHeight="1">
      <c r="A322" s="15"/>
      <c r="B322" s="3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</row>
    <row r="323" ht="15.75" customHeight="1">
      <c r="A323" s="15"/>
      <c r="B323" s="37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</row>
    <row r="324" ht="15.75" customHeight="1">
      <c r="A324" s="15"/>
      <c r="B324" s="3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</row>
    <row r="325" ht="15.75" customHeight="1">
      <c r="A325" s="15"/>
      <c r="B325" s="37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ht="15.75" customHeight="1">
      <c r="A326" s="15"/>
      <c r="B326" s="3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</row>
    <row r="327" ht="15.75" customHeight="1">
      <c r="A327" s="15"/>
      <c r="B327" s="37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</row>
    <row r="328" ht="15.75" customHeight="1">
      <c r="A328" s="15"/>
      <c r="B328" s="3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ht="15.75" customHeight="1">
      <c r="A329" s="15"/>
      <c r="B329" s="37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</row>
    <row r="330" ht="15.75" customHeight="1">
      <c r="A330" s="15"/>
      <c r="B330" s="3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</row>
    <row r="331" ht="15.75" customHeight="1">
      <c r="A331" s="15"/>
      <c r="B331" s="37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</row>
    <row r="332" ht="15.75" customHeight="1">
      <c r="A332" s="15"/>
      <c r="B332" s="3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ht="15.75" customHeight="1">
      <c r="A333" s="15"/>
      <c r="B333" s="37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</row>
    <row r="334" ht="15.75" customHeight="1">
      <c r="A334" s="15"/>
      <c r="B334" s="3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ht="15.75" customHeight="1">
      <c r="A335" s="15"/>
      <c r="B335" s="37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</row>
    <row r="336" ht="15.75" customHeight="1">
      <c r="A336" s="15"/>
      <c r="B336" s="3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ht="15.75" customHeight="1">
      <c r="A337" s="15"/>
      <c r="B337" s="37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</row>
    <row r="338" ht="15.75" customHeight="1">
      <c r="A338" s="15"/>
      <c r="B338" s="3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</row>
    <row r="339" ht="15.75" customHeight="1">
      <c r="A339" s="15"/>
      <c r="B339" s="37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ht="15.75" customHeight="1">
      <c r="A340" s="15"/>
      <c r="B340" s="3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</row>
    <row r="341" ht="15.75" customHeight="1">
      <c r="A341" s="15"/>
      <c r="B341" s="37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</row>
    <row r="342" ht="15.75" customHeight="1">
      <c r="A342" s="15"/>
      <c r="B342" s="3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</row>
    <row r="343" ht="15.75" customHeight="1">
      <c r="A343" s="15"/>
      <c r="B343" s="37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</row>
    <row r="344" ht="15.75" customHeight="1">
      <c r="A344" s="15"/>
      <c r="B344" s="3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</row>
    <row r="345" ht="15.75" customHeight="1">
      <c r="A345" s="15"/>
      <c r="B345" s="37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</row>
    <row r="346" ht="15.75" customHeight="1">
      <c r="A346" s="15"/>
      <c r="B346" s="3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</row>
    <row r="347" ht="15.75" customHeight="1">
      <c r="A347" s="15"/>
      <c r="B347" s="37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</row>
    <row r="348" ht="15.75" customHeight="1">
      <c r="A348" s="15"/>
      <c r="B348" s="3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</row>
    <row r="349" ht="15.75" customHeight="1">
      <c r="A349" s="15"/>
      <c r="B349" s="37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</row>
    <row r="350" ht="15.75" customHeight="1">
      <c r="A350" s="15"/>
      <c r="B350" s="3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ht="15.75" customHeight="1">
      <c r="A351" s="15"/>
      <c r="B351" s="37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</row>
    <row r="352" ht="15.75" customHeight="1">
      <c r="A352" s="15"/>
      <c r="B352" s="3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</row>
    <row r="353" ht="15.75" customHeight="1">
      <c r="A353" s="15"/>
      <c r="B353" s="37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</row>
    <row r="354" ht="15.75" customHeight="1">
      <c r="A354" s="15"/>
      <c r="B354" s="3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</row>
    <row r="355" ht="15.75" customHeight="1">
      <c r="A355" s="15"/>
      <c r="B355" s="37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</row>
    <row r="356" ht="15.75" customHeight="1">
      <c r="A356" s="15"/>
      <c r="B356" s="3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</row>
    <row r="357" ht="15.75" customHeight="1">
      <c r="A357" s="15"/>
      <c r="B357" s="37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</row>
    <row r="358" ht="15.75" customHeight="1">
      <c r="A358" s="15"/>
      <c r="B358" s="3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</row>
    <row r="359" ht="15.75" customHeight="1">
      <c r="A359" s="15"/>
      <c r="B359" s="37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</row>
    <row r="360" ht="15.75" customHeight="1">
      <c r="A360" s="15"/>
      <c r="B360" s="3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</row>
    <row r="361" ht="15.75" customHeight="1">
      <c r="A361" s="15"/>
      <c r="B361" s="37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</row>
    <row r="362" ht="15.75" customHeight="1">
      <c r="A362" s="15"/>
      <c r="B362" s="3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ht="15.75" customHeight="1">
      <c r="A363" s="15"/>
      <c r="B363" s="37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</row>
    <row r="364" ht="15.75" customHeight="1">
      <c r="A364" s="15"/>
      <c r="B364" s="3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</row>
    <row r="365" ht="15.75" customHeight="1">
      <c r="A365" s="15"/>
      <c r="B365" s="37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</row>
    <row r="366" ht="15.75" customHeight="1">
      <c r="A366" s="15"/>
      <c r="B366" s="3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</row>
    <row r="367" ht="15.75" customHeight="1">
      <c r="A367" s="15"/>
      <c r="B367" s="37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</row>
    <row r="368" ht="15.75" customHeight="1">
      <c r="A368" s="15"/>
      <c r="B368" s="3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</row>
    <row r="369" ht="15.75" customHeight="1">
      <c r="A369" s="15"/>
      <c r="B369" s="37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</row>
    <row r="370" ht="15.75" customHeight="1">
      <c r="A370" s="15"/>
      <c r="B370" s="3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</row>
    <row r="371" ht="15.75" customHeight="1">
      <c r="A371" s="15"/>
      <c r="B371" s="37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</row>
    <row r="372" ht="15.75" customHeight="1">
      <c r="A372" s="15"/>
      <c r="B372" s="3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</row>
    <row r="373" ht="15.75" customHeight="1">
      <c r="A373" s="15"/>
      <c r="B373" s="37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ht="15.75" customHeight="1">
      <c r="A374" s="15"/>
      <c r="B374" s="3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</row>
    <row r="375" ht="15.75" customHeight="1">
      <c r="A375" s="15"/>
      <c r="B375" s="37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</row>
    <row r="376" ht="15.75" customHeight="1">
      <c r="A376" s="15"/>
      <c r="B376" s="3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</row>
    <row r="377" ht="15.75" customHeight="1">
      <c r="A377" s="15"/>
      <c r="B377" s="37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</row>
    <row r="378" ht="15.75" customHeight="1">
      <c r="A378" s="15"/>
      <c r="B378" s="3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</row>
    <row r="379" ht="15.75" customHeight="1">
      <c r="A379" s="15"/>
      <c r="B379" s="37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</row>
    <row r="380" ht="15.75" customHeight="1">
      <c r="A380" s="15"/>
      <c r="B380" s="3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</row>
    <row r="381" ht="15.75" customHeight="1">
      <c r="A381" s="15"/>
      <c r="B381" s="37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</row>
    <row r="382" ht="15.75" customHeight="1">
      <c r="A382" s="15"/>
      <c r="B382" s="3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</row>
    <row r="383" ht="15.75" customHeight="1">
      <c r="A383" s="15"/>
      <c r="B383" s="37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ht="15.75" customHeight="1">
      <c r="A384" s="15"/>
      <c r="B384" s="3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</row>
    <row r="385" ht="15.75" customHeight="1">
      <c r="A385" s="15"/>
      <c r="B385" s="37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</row>
    <row r="386" ht="15.75" customHeight="1">
      <c r="A386" s="15"/>
      <c r="B386" s="3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</row>
    <row r="387" ht="15.75" customHeight="1">
      <c r="A387" s="15"/>
      <c r="B387" s="37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</row>
    <row r="388" ht="15.75" customHeight="1">
      <c r="A388" s="15"/>
      <c r="B388" s="3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</row>
    <row r="389" ht="15.75" customHeight="1">
      <c r="A389" s="15"/>
      <c r="B389" s="37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</row>
    <row r="390" ht="15.75" customHeight="1">
      <c r="A390" s="15"/>
      <c r="B390" s="3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</row>
    <row r="391" ht="15.75" customHeight="1">
      <c r="A391" s="15"/>
      <c r="B391" s="37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</row>
    <row r="392" ht="15.75" customHeight="1">
      <c r="A392" s="15"/>
      <c r="B392" s="3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</row>
    <row r="393" ht="15.75" customHeight="1">
      <c r="A393" s="15"/>
      <c r="B393" s="37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</row>
    <row r="394" ht="15.75" customHeight="1">
      <c r="A394" s="15"/>
      <c r="B394" s="3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ht="15.75" customHeight="1">
      <c r="A395" s="15"/>
      <c r="B395" s="37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</row>
    <row r="396" ht="15.75" customHeight="1">
      <c r="A396" s="15"/>
      <c r="B396" s="3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</row>
    <row r="397" ht="15.75" customHeight="1">
      <c r="A397" s="15"/>
      <c r="B397" s="37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</row>
    <row r="398" ht="15.75" customHeight="1">
      <c r="A398" s="15"/>
      <c r="B398" s="3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ht="15.75" customHeight="1">
      <c r="A399" s="15"/>
      <c r="B399" s="37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</row>
    <row r="400" ht="15.75" customHeight="1">
      <c r="A400" s="15"/>
      <c r="B400" s="3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</row>
    <row r="401" ht="15.75" customHeight="1">
      <c r="A401" s="15"/>
      <c r="B401" s="37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</row>
    <row r="402" ht="15.75" customHeight="1">
      <c r="A402" s="15"/>
      <c r="B402" s="3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</row>
    <row r="403" ht="15.75" customHeight="1">
      <c r="A403" s="15"/>
      <c r="B403" s="37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</row>
    <row r="404" ht="15.75" customHeight="1">
      <c r="A404" s="15"/>
      <c r="B404" s="3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</row>
    <row r="405" ht="15.75" customHeight="1">
      <c r="A405" s="15"/>
      <c r="B405" s="37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</row>
    <row r="406" ht="15.75" customHeight="1">
      <c r="A406" s="15"/>
      <c r="B406" s="3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</row>
    <row r="407" ht="15.75" customHeight="1">
      <c r="A407" s="15"/>
      <c r="B407" s="37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</row>
    <row r="408" ht="15.75" customHeight="1">
      <c r="A408" s="15"/>
      <c r="B408" s="3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</row>
    <row r="409" ht="15.75" customHeight="1">
      <c r="A409" s="15"/>
      <c r="B409" s="37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</row>
    <row r="410" ht="15.75" customHeight="1">
      <c r="A410" s="15"/>
      <c r="B410" s="3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</row>
    <row r="411" ht="15.75" customHeight="1">
      <c r="A411" s="15"/>
      <c r="B411" s="37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</row>
    <row r="412" ht="15.75" customHeight="1">
      <c r="A412" s="15"/>
      <c r="B412" s="3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</row>
    <row r="413" ht="15.75" customHeight="1">
      <c r="A413" s="15"/>
      <c r="B413" s="37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</row>
    <row r="414" ht="15.75" customHeight="1">
      <c r="A414" s="15"/>
      <c r="B414" s="3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</row>
    <row r="415" ht="15.75" customHeight="1">
      <c r="A415" s="15"/>
      <c r="B415" s="37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</row>
    <row r="416" ht="15.75" customHeight="1">
      <c r="A416" s="15"/>
      <c r="B416" s="3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</row>
    <row r="417" ht="15.75" customHeight="1">
      <c r="A417" s="15"/>
      <c r="B417" s="37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</row>
    <row r="418" ht="15.75" customHeight="1">
      <c r="A418" s="15"/>
      <c r="B418" s="3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</row>
    <row r="419" ht="15.75" customHeight="1">
      <c r="A419" s="15"/>
      <c r="B419" s="37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</row>
    <row r="420" ht="15.75" customHeight="1">
      <c r="A420" s="15"/>
      <c r="B420" s="3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</row>
    <row r="421" ht="15.75" customHeight="1">
      <c r="A421" s="15"/>
      <c r="B421" s="37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</row>
    <row r="422" ht="15.75" customHeight="1">
      <c r="A422" s="15"/>
      <c r="B422" s="3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</row>
    <row r="423" ht="15.75" customHeight="1">
      <c r="A423" s="15"/>
      <c r="B423" s="37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</row>
    <row r="424" ht="15.75" customHeight="1">
      <c r="A424" s="15"/>
      <c r="B424" s="3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</row>
    <row r="425" ht="15.75" customHeight="1">
      <c r="A425" s="15"/>
      <c r="B425" s="37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</row>
    <row r="426" ht="15.75" customHeight="1">
      <c r="A426" s="15"/>
      <c r="B426" s="3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</row>
    <row r="427" ht="15.75" customHeight="1">
      <c r="A427" s="15"/>
      <c r="B427" s="37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</row>
    <row r="428" ht="15.75" customHeight="1">
      <c r="A428" s="15"/>
      <c r="B428" s="3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</row>
    <row r="429" ht="15.75" customHeight="1">
      <c r="A429" s="15"/>
      <c r="B429" s="37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</row>
    <row r="430" ht="15.75" customHeight="1">
      <c r="A430" s="15"/>
      <c r="B430" s="3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</row>
    <row r="431" ht="15.75" customHeight="1">
      <c r="A431" s="15"/>
      <c r="B431" s="37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</row>
    <row r="432" ht="15.75" customHeight="1">
      <c r="A432" s="15"/>
      <c r="B432" s="3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</row>
    <row r="433" ht="15.75" customHeight="1">
      <c r="A433" s="15"/>
      <c r="B433" s="37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</row>
    <row r="434" ht="15.75" customHeight="1">
      <c r="A434" s="15"/>
      <c r="B434" s="3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</row>
    <row r="435" ht="15.75" customHeight="1">
      <c r="A435" s="15"/>
      <c r="B435" s="37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</row>
    <row r="436" ht="15.75" customHeight="1">
      <c r="A436" s="15"/>
      <c r="B436" s="3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</row>
    <row r="437" ht="15.75" customHeight="1">
      <c r="A437" s="15"/>
      <c r="B437" s="37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</row>
    <row r="438" ht="15.75" customHeight="1">
      <c r="A438" s="15"/>
      <c r="B438" s="3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</row>
    <row r="439" ht="15.75" customHeight="1">
      <c r="A439" s="15"/>
      <c r="B439" s="37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</row>
    <row r="440" ht="15.75" customHeight="1">
      <c r="A440" s="15"/>
      <c r="B440" s="3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</row>
    <row r="441" ht="15.75" customHeight="1">
      <c r="A441" s="15"/>
      <c r="B441" s="37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</row>
    <row r="442" ht="15.75" customHeight="1">
      <c r="A442" s="15"/>
      <c r="B442" s="3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</row>
    <row r="443" ht="15.75" customHeight="1">
      <c r="A443" s="15"/>
      <c r="B443" s="37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</row>
    <row r="444" ht="15.75" customHeight="1">
      <c r="A444" s="15"/>
      <c r="B444" s="3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</row>
    <row r="445" ht="15.75" customHeight="1">
      <c r="A445" s="15"/>
      <c r="B445" s="37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</row>
    <row r="446" ht="15.75" customHeight="1">
      <c r="A446" s="15"/>
      <c r="B446" s="3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</row>
    <row r="447" ht="15.75" customHeight="1">
      <c r="A447" s="15"/>
      <c r="B447" s="37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</row>
    <row r="448" ht="15.75" customHeight="1">
      <c r="A448" s="15"/>
      <c r="B448" s="3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</row>
    <row r="449" ht="15.75" customHeight="1">
      <c r="A449" s="15"/>
      <c r="B449" s="37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</row>
    <row r="450" ht="15.75" customHeight="1">
      <c r="A450" s="15"/>
      <c r="B450" s="3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</row>
    <row r="451" ht="15.75" customHeight="1">
      <c r="A451" s="15"/>
      <c r="B451" s="37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</row>
    <row r="452" ht="15.75" customHeight="1">
      <c r="A452" s="15"/>
      <c r="B452" s="3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</row>
    <row r="453" ht="15.75" customHeight="1">
      <c r="A453" s="15"/>
      <c r="B453" s="37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</row>
    <row r="454" ht="15.75" customHeight="1">
      <c r="A454" s="15"/>
      <c r="B454" s="3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</row>
    <row r="455" ht="15.75" customHeight="1">
      <c r="A455" s="15"/>
      <c r="B455" s="37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</row>
    <row r="456" ht="15.75" customHeight="1">
      <c r="A456" s="15"/>
      <c r="B456" s="3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</row>
    <row r="457" ht="15.75" customHeight="1">
      <c r="A457" s="15"/>
      <c r="B457" s="37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</row>
    <row r="458" ht="15.75" customHeight="1">
      <c r="A458" s="15"/>
      <c r="B458" s="3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</row>
    <row r="459" ht="15.75" customHeight="1">
      <c r="A459" s="15"/>
      <c r="B459" s="37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</row>
    <row r="460" ht="15.75" customHeight="1">
      <c r="A460" s="15"/>
      <c r="B460" s="3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</row>
    <row r="461" ht="15.75" customHeight="1">
      <c r="A461" s="15"/>
      <c r="B461" s="37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</row>
    <row r="462" ht="15.75" customHeight="1">
      <c r="A462" s="15"/>
      <c r="B462" s="3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</row>
    <row r="463" ht="15.75" customHeight="1">
      <c r="A463" s="15"/>
      <c r="B463" s="37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</row>
    <row r="464" ht="15.75" customHeight="1">
      <c r="A464" s="15"/>
      <c r="B464" s="3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 ht="15.75" customHeight="1">
      <c r="A465" s="15"/>
      <c r="B465" s="37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</row>
    <row r="466" ht="15.75" customHeight="1">
      <c r="A466" s="15"/>
      <c r="B466" s="3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</row>
    <row r="467" ht="15.75" customHeight="1">
      <c r="A467" s="15"/>
      <c r="B467" s="37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</row>
    <row r="468" ht="15.75" customHeight="1">
      <c r="A468" s="15"/>
      <c r="B468" s="3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</row>
    <row r="469" ht="15.75" customHeight="1">
      <c r="A469" s="15"/>
      <c r="B469" s="37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</row>
    <row r="470" ht="15.75" customHeight="1">
      <c r="A470" s="15"/>
      <c r="B470" s="3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</row>
    <row r="471" ht="15.75" customHeight="1">
      <c r="A471" s="15"/>
      <c r="B471" s="37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</row>
    <row r="472" ht="15.75" customHeight="1">
      <c r="A472" s="15"/>
      <c r="B472" s="3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</row>
    <row r="473" ht="15.75" customHeight="1">
      <c r="A473" s="15"/>
      <c r="B473" s="37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</row>
    <row r="474" ht="15.75" customHeight="1">
      <c r="A474" s="15"/>
      <c r="B474" s="3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</row>
    <row r="475" ht="15.75" customHeight="1">
      <c r="A475" s="15"/>
      <c r="B475" s="37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</row>
    <row r="476" ht="15.75" customHeight="1">
      <c r="A476" s="15"/>
      <c r="B476" s="3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</row>
    <row r="477" ht="15.75" customHeight="1">
      <c r="A477" s="15"/>
      <c r="B477" s="37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</row>
    <row r="478" ht="15.75" customHeight="1">
      <c r="A478" s="15"/>
      <c r="B478" s="3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</row>
    <row r="479" ht="15.75" customHeight="1">
      <c r="A479" s="15"/>
      <c r="B479" s="37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</row>
    <row r="480" ht="15.75" customHeight="1">
      <c r="A480" s="15"/>
      <c r="B480" s="3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</row>
    <row r="481" ht="15.75" customHeight="1">
      <c r="A481" s="15"/>
      <c r="B481" s="37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</row>
    <row r="482" ht="15.75" customHeight="1">
      <c r="A482" s="15"/>
      <c r="B482" s="3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</row>
    <row r="483" ht="15.75" customHeight="1">
      <c r="A483" s="15"/>
      <c r="B483" s="37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</row>
    <row r="484" ht="15.75" customHeight="1">
      <c r="A484" s="15"/>
      <c r="B484" s="3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</row>
    <row r="485" ht="15.75" customHeight="1">
      <c r="A485" s="15"/>
      <c r="B485" s="37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</row>
    <row r="486" ht="15.75" customHeight="1">
      <c r="A486" s="15"/>
      <c r="B486" s="3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</row>
    <row r="487" ht="15.75" customHeight="1">
      <c r="A487" s="15"/>
      <c r="B487" s="37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</row>
    <row r="488" ht="15.75" customHeight="1">
      <c r="A488" s="15"/>
      <c r="B488" s="3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</row>
    <row r="489" ht="15.75" customHeight="1">
      <c r="A489" s="15"/>
      <c r="B489" s="37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</row>
    <row r="490" ht="15.75" customHeight="1">
      <c r="A490" s="15"/>
      <c r="B490" s="3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</row>
    <row r="491" ht="15.75" customHeight="1">
      <c r="A491" s="15"/>
      <c r="B491" s="37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</row>
    <row r="492" ht="15.75" customHeight="1">
      <c r="A492" s="15"/>
      <c r="B492" s="3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</row>
    <row r="493" ht="15.75" customHeight="1">
      <c r="A493" s="15"/>
      <c r="B493" s="37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</row>
    <row r="494" ht="15.75" customHeight="1">
      <c r="A494" s="15"/>
      <c r="B494" s="3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</row>
    <row r="495" ht="15.75" customHeight="1">
      <c r="A495" s="15"/>
      <c r="B495" s="37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</row>
    <row r="496" ht="15.75" customHeight="1">
      <c r="A496" s="15"/>
      <c r="B496" s="3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</row>
    <row r="497" ht="15.75" customHeight="1">
      <c r="A497" s="15"/>
      <c r="B497" s="37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</row>
    <row r="498" ht="15.75" customHeight="1">
      <c r="A498" s="15"/>
      <c r="B498" s="3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</row>
    <row r="499" ht="15.75" customHeight="1">
      <c r="A499" s="15"/>
      <c r="B499" s="37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</row>
    <row r="500" ht="15.75" customHeight="1">
      <c r="A500" s="15"/>
      <c r="B500" s="3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</row>
    <row r="501" ht="15.75" customHeight="1">
      <c r="A501" s="15"/>
      <c r="B501" s="37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</row>
    <row r="502" ht="15.75" customHeight="1">
      <c r="A502" s="15"/>
      <c r="B502" s="3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</row>
    <row r="503" ht="15.75" customHeight="1">
      <c r="A503" s="15"/>
      <c r="B503" s="37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</row>
    <row r="504" ht="15.75" customHeight="1">
      <c r="A504" s="15"/>
      <c r="B504" s="3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</row>
    <row r="505" ht="15.75" customHeight="1">
      <c r="A505" s="15"/>
      <c r="B505" s="37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</row>
    <row r="506" ht="15.75" customHeight="1">
      <c r="A506" s="15"/>
      <c r="B506" s="3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</row>
    <row r="507" ht="15.75" customHeight="1">
      <c r="A507" s="15"/>
      <c r="B507" s="37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</row>
    <row r="508" ht="15.75" customHeight="1">
      <c r="A508" s="15"/>
      <c r="B508" s="3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</row>
    <row r="509" ht="15.75" customHeight="1">
      <c r="A509" s="15"/>
      <c r="B509" s="37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</row>
    <row r="510" ht="15.75" customHeight="1">
      <c r="A510" s="15"/>
      <c r="B510" s="3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</row>
    <row r="511" ht="15.75" customHeight="1">
      <c r="A511" s="15"/>
      <c r="B511" s="37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</row>
    <row r="512" ht="15.75" customHeight="1">
      <c r="A512" s="15"/>
      <c r="B512" s="3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</row>
    <row r="513" ht="15.75" customHeight="1">
      <c r="A513" s="15"/>
      <c r="B513" s="37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</row>
    <row r="514" ht="15.75" customHeight="1">
      <c r="A514" s="15"/>
      <c r="B514" s="3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</row>
    <row r="515" ht="15.75" customHeight="1">
      <c r="A515" s="15"/>
      <c r="B515" s="37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</row>
    <row r="516" ht="15.75" customHeight="1">
      <c r="A516" s="15"/>
      <c r="B516" s="3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</row>
    <row r="517" ht="15.75" customHeight="1">
      <c r="A517" s="15"/>
      <c r="B517" s="37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</row>
    <row r="518" ht="15.75" customHeight="1">
      <c r="A518" s="15"/>
      <c r="B518" s="3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</row>
    <row r="519" ht="15.75" customHeight="1">
      <c r="A519" s="15"/>
      <c r="B519" s="37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</row>
    <row r="520" ht="15.75" customHeight="1">
      <c r="A520" s="15"/>
      <c r="B520" s="3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</row>
    <row r="521" ht="15.75" customHeight="1">
      <c r="A521" s="15"/>
      <c r="B521" s="37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</row>
    <row r="522" ht="15.75" customHeight="1">
      <c r="A522" s="15"/>
      <c r="B522" s="3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</row>
    <row r="523" ht="15.75" customHeight="1">
      <c r="A523" s="15"/>
      <c r="B523" s="37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</row>
    <row r="524" ht="15.75" customHeight="1">
      <c r="A524" s="15"/>
      <c r="B524" s="3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</row>
    <row r="525" ht="15.75" customHeight="1">
      <c r="A525" s="15"/>
      <c r="B525" s="37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</row>
    <row r="526" ht="15.75" customHeight="1">
      <c r="A526" s="15"/>
      <c r="B526" s="3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</row>
    <row r="527" ht="15.75" customHeight="1">
      <c r="A527" s="15"/>
      <c r="B527" s="37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</row>
    <row r="528" ht="15.75" customHeight="1">
      <c r="A528" s="15"/>
      <c r="B528" s="3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</row>
    <row r="529" ht="15.75" customHeight="1">
      <c r="A529" s="15"/>
      <c r="B529" s="37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</row>
    <row r="530" ht="15.75" customHeight="1">
      <c r="A530" s="15"/>
      <c r="B530" s="3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 ht="15.75" customHeight="1">
      <c r="A531" s="15"/>
      <c r="B531" s="37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</row>
    <row r="532" ht="15.75" customHeight="1">
      <c r="A532" s="15"/>
      <c r="B532" s="3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</row>
    <row r="533" ht="15.75" customHeight="1">
      <c r="A533" s="15"/>
      <c r="B533" s="37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</row>
    <row r="534" ht="15.75" customHeight="1">
      <c r="A534" s="15"/>
      <c r="B534" s="3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</row>
    <row r="535" ht="15.75" customHeight="1">
      <c r="A535" s="15"/>
      <c r="B535" s="37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</row>
    <row r="536" ht="15.75" customHeight="1">
      <c r="A536" s="15"/>
      <c r="B536" s="3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</row>
    <row r="537" ht="15.75" customHeight="1">
      <c r="A537" s="15"/>
      <c r="B537" s="37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</row>
    <row r="538" ht="15.75" customHeight="1">
      <c r="A538" s="15"/>
      <c r="B538" s="3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</row>
    <row r="539" ht="15.75" customHeight="1">
      <c r="A539" s="15"/>
      <c r="B539" s="37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</row>
    <row r="540" ht="15.75" customHeight="1">
      <c r="A540" s="15"/>
      <c r="B540" s="3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</row>
    <row r="541" ht="15.75" customHeight="1">
      <c r="A541" s="15"/>
      <c r="B541" s="37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</row>
    <row r="542" ht="15.75" customHeight="1">
      <c r="A542" s="15"/>
      <c r="B542" s="3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</row>
    <row r="543" ht="15.75" customHeight="1">
      <c r="A543" s="15"/>
      <c r="B543" s="37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</row>
    <row r="544" ht="15.75" customHeight="1">
      <c r="A544" s="15"/>
      <c r="B544" s="3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</row>
    <row r="545" ht="15.75" customHeight="1">
      <c r="A545" s="15"/>
      <c r="B545" s="37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</row>
    <row r="546" ht="15.75" customHeight="1">
      <c r="A546" s="15"/>
      <c r="B546" s="3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</row>
    <row r="547" ht="15.75" customHeight="1">
      <c r="A547" s="15"/>
      <c r="B547" s="37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</row>
    <row r="548" ht="15.75" customHeight="1">
      <c r="A548" s="15"/>
      <c r="B548" s="3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</row>
    <row r="549" ht="15.75" customHeight="1">
      <c r="A549" s="15"/>
      <c r="B549" s="37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</row>
    <row r="550" ht="15.75" customHeight="1">
      <c r="A550" s="15"/>
      <c r="B550" s="3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</row>
    <row r="551" ht="15.75" customHeight="1">
      <c r="A551" s="15"/>
      <c r="B551" s="37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</row>
    <row r="552" ht="15.75" customHeight="1">
      <c r="A552" s="15"/>
      <c r="B552" s="3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</row>
    <row r="553" ht="15.75" customHeight="1">
      <c r="A553" s="15"/>
      <c r="B553" s="37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</row>
    <row r="554" ht="15.75" customHeight="1">
      <c r="A554" s="15"/>
      <c r="B554" s="3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</row>
    <row r="555" ht="15.75" customHeight="1">
      <c r="A555" s="15"/>
      <c r="B555" s="37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</row>
    <row r="556" ht="15.75" customHeight="1">
      <c r="A556" s="15"/>
      <c r="B556" s="3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</row>
    <row r="557" ht="15.75" customHeight="1">
      <c r="A557" s="15"/>
      <c r="B557" s="37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</row>
    <row r="558" ht="15.75" customHeight="1">
      <c r="A558" s="15"/>
      <c r="B558" s="3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</row>
    <row r="559" ht="15.75" customHeight="1">
      <c r="A559" s="15"/>
      <c r="B559" s="3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</row>
    <row r="560" ht="15.75" customHeight="1">
      <c r="A560" s="15"/>
      <c r="B560" s="3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</row>
    <row r="561" ht="15.75" customHeight="1">
      <c r="A561" s="15"/>
      <c r="B561" s="37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</row>
    <row r="562" ht="15.75" customHeight="1">
      <c r="A562" s="15"/>
      <c r="B562" s="3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</row>
    <row r="563" ht="15.75" customHeight="1">
      <c r="A563" s="15"/>
      <c r="B563" s="37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</row>
    <row r="564" ht="15.75" customHeight="1">
      <c r="A564" s="15"/>
      <c r="B564" s="3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</row>
    <row r="565" ht="15.75" customHeight="1">
      <c r="A565" s="15"/>
      <c r="B565" s="37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</row>
    <row r="566" ht="15.75" customHeight="1">
      <c r="A566" s="15"/>
      <c r="B566" s="3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</row>
    <row r="567" ht="15.75" customHeight="1">
      <c r="A567" s="15"/>
      <c r="B567" s="37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</row>
    <row r="568" ht="15.75" customHeight="1">
      <c r="A568" s="15"/>
      <c r="B568" s="3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</row>
    <row r="569" ht="15.75" customHeight="1">
      <c r="A569" s="15"/>
      <c r="B569" s="37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</row>
    <row r="570" ht="15.75" customHeight="1">
      <c r="A570" s="15"/>
      <c r="B570" s="3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</row>
    <row r="571" ht="15.75" customHeight="1">
      <c r="A571" s="15"/>
      <c r="B571" s="37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</row>
    <row r="572" ht="15.75" customHeight="1">
      <c r="A572" s="15"/>
      <c r="B572" s="3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</row>
    <row r="573" ht="15.75" customHeight="1">
      <c r="A573" s="15"/>
      <c r="B573" s="37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</row>
    <row r="574" ht="15.75" customHeight="1">
      <c r="A574" s="15"/>
      <c r="B574" s="3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</row>
    <row r="575" ht="15.75" customHeight="1">
      <c r="A575" s="15"/>
      <c r="B575" s="37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</row>
    <row r="576" ht="15.75" customHeight="1">
      <c r="A576" s="15"/>
      <c r="B576" s="3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</row>
    <row r="577" ht="15.75" customHeight="1">
      <c r="A577" s="15"/>
      <c r="B577" s="37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</row>
    <row r="578" ht="15.75" customHeight="1">
      <c r="A578" s="15"/>
      <c r="B578" s="3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</row>
    <row r="579" ht="15.75" customHeight="1">
      <c r="A579" s="15"/>
      <c r="B579" s="37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</row>
    <row r="580" ht="15.75" customHeight="1">
      <c r="A580" s="15"/>
      <c r="B580" s="3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</row>
    <row r="581" ht="15.75" customHeight="1">
      <c r="A581" s="15"/>
      <c r="B581" s="37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</row>
    <row r="582" ht="15.75" customHeight="1">
      <c r="A582" s="15"/>
      <c r="B582" s="3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</row>
    <row r="583" ht="15.75" customHeight="1">
      <c r="A583" s="15"/>
      <c r="B583" s="37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</row>
    <row r="584" ht="15.75" customHeight="1">
      <c r="A584" s="15"/>
      <c r="B584" s="3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</row>
    <row r="585" ht="15.75" customHeight="1">
      <c r="A585" s="15"/>
      <c r="B585" s="37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</row>
    <row r="586" ht="15.75" customHeight="1">
      <c r="A586" s="15"/>
      <c r="B586" s="3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</row>
    <row r="587" ht="15.75" customHeight="1">
      <c r="A587" s="15"/>
      <c r="B587" s="37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</row>
    <row r="588" ht="15.75" customHeight="1">
      <c r="A588" s="15"/>
      <c r="B588" s="3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</row>
    <row r="589" ht="15.75" customHeight="1">
      <c r="A589" s="15"/>
      <c r="B589" s="37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</row>
    <row r="590" ht="15.75" customHeight="1">
      <c r="A590" s="15"/>
      <c r="B590" s="3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</row>
    <row r="591" ht="15.75" customHeight="1">
      <c r="A591" s="15"/>
      <c r="B591" s="37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</row>
    <row r="592" ht="15.75" customHeight="1">
      <c r="A592" s="15"/>
      <c r="B592" s="3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</row>
    <row r="593" ht="15.75" customHeight="1">
      <c r="A593" s="15"/>
      <c r="B593" s="37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</row>
    <row r="594" ht="15.75" customHeight="1">
      <c r="A594" s="15"/>
      <c r="B594" s="3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</row>
    <row r="595" ht="15.75" customHeight="1">
      <c r="A595" s="15"/>
      <c r="B595" s="37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</row>
    <row r="596" ht="15.75" customHeight="1">
      <c r="A596" s="15"/>
      <c r="B596" s="3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 ht="15.75" customHeight="1">
      <c r="A597" s="15"/>
      <c r="B597" s="37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</row>
    <row r="598" ht="15.75" customHeight="1">
      <c r="A598" s="15"/>
      <c r="B598" s="3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</row>
    <row r="599" ht="15.75" customHeight="1">
      <c r="A599" s="15"/>
      <c r="B599" s="37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</row>
    <row r="600" ht="15.75" customHeight="1">
      <c r="A600" s="15"/>
      <c r="B600" s="3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</row>
    <row r="601" ht="15.75" customHeight="1">
      <c r="A601" s="15"/>
      <c r="B601" s="37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</row>
    <row r="602" ht="15.75" customHeight="1">
      <c r="A602" s="15"/>
      <c r="B602" s="3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</row>
    <row r="603" ht="15.75" customHeight="1">
      <c r="A603" s="15"/>
      <c r="B603" s="37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</row>
    <row r="604" ht="15.75" customHeight="1">
      <c r="A604" s="15"/>
      <c r="B604" s="3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</row>
    <row r="605" ht="15.75" customHeight="1">
      <c r="A605" s="15"/>
      <c r="B605" s="37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</row>
    <row r="606" ht="15.75" customHeight="1">
      <c r="A606" s="15"/>
      <c r="B606" s="3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</row>
    <row r="607" ht="15.75" customHeight="1">
      <c r="A607" s="15"/>
      <c r="B607" s="37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</row>
    <row r="608" ht="15.75" customHeight="1">
      <c r="A608" s="15"/>
      <c r="B608" s="3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</row>
    <row r="609" ht="15.75" customHeight="1">
      <c r="A609" s="15"/>
      <c r="B609" s="37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</row>
    <row r="610" ht="15.75" customHeight="1">
      <c r="A610" s="15"/>
      <c r="B610" s="3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</row>
    <row r="611" ht="15.75" customHeight="1">
      <c r="A611" s="15"/>
      <c r="B611" s="37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</row>
    <row r="612" ht="15.75" customHeight="1">
      <c r="A612" s="15"/>
      <c r="B612" s="3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</row>
    <row r="613" ht="15.75" customHeight="1">
      <c r="A613" s="15"/>
      <c r="B613" s="37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</row>
    <row r="614" ht="15.75" customHeight="1">
      <c r="A614" s="15"/>
      <c r="B614" s="3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</row>
    <row r="615" ht="15.75" customHeight="1">
      <c r="A615" s="15"/>
      <c r="B615" s="37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</row>
    <row r="616" ht="15.75" customHeight="1">
      <c r="A616" s="15"/>
      <c r="B616" s="3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</row>
    <row r="617" ht="15.75" customHeight="1">
      <c r="A617" s="15"/>
      <c r="B617" s="37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</row>
    <row r="618" ht="15.75" customHeight="1">
      <c r="A618" s="15"/>
      <c r="B618" s="3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</row>
    <row r="619" ht="15.75" customHeight="1">
      <c r="A619" s="15"/>
      <c r="B619" s="37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</row>
    <row r="620" ht="15.75" customHeight="1">
      <c r="A620" s="15"/>
      <c r="B620" s="3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</row>
    <row r="621" ht="15.75" customHeight="1">
      <c r="A621" s="15"/>
      <c r="B621" s="37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</row>
    <row r="622" ht="15.75" customHeight="1">
      <c r="A622" s="15"/>
      <c r="B622" s="3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</row>
    <row r="623" ht="15.75" customHeight="1">
      <c r="A623" s="15"/>
      <c r="B623" s="37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</row>
    <row r="624" ht="15.75" customHeight="1">
      <c r="A624" s="15"/>
      <c r="B624" s="3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</row>
    <row r="625" ht="15.75" customHeight="1">
      <c r="A625" s="15"/>
      <c r="B625" s="37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</row>
    <row r="626" ht="15.75" customHeight="1">
      <c r="A626" s="15"/>
      <c r="B626" s="3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</row>
    <row r="627" ht="15.75" customHeight="1">
      <c r="A627" s="15"/>
      <c r="B627" s="37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</row>
    <row r="628" ht="15.75" customHeight="1">
      <c r="A628" s="15"/>
      <c r="B628" s="3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</row>
    <row r="629" ht="15.75" customHeight="1">
      <c r="A629" s="15"/>
      <c r="B629" s="37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</row>
    <row r="630" ht="15.75" customHeight="1">
      <c r="A630" s="15"/>
      <c r="B630" s="3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</row>
    <row r="631" ht="15.75" customHeight="1">
      <c r="A631" s="15"/>
      <c r="B631" s="37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</row>
    <row r="632" ht="15.75" customHeight="1">
      <c r="A632" s="15"/>
      <c r="B632" s="3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</row>
    <row r="633" ht="15.75" customHeight="1">
      <c r="A633" s="15"/>
      <c r="B633" s="37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</row>
    <row r="634" ht="15.75" customHeight="1">
      <c r="A634" s="15"/>
      <c r="B634" s="3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</row>
    <row r="635" ht="15.75" customHeight="1">
      <c r="A635" s="15"/>
      <c r="B635" s="37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</row>
    <row r="636" ht="15.75" customHeight="1">
      <c r="A636" s="15"/>
      <c r="B636" s="3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</row>
    <row r="637" ht="15.75" customHeight="1">
      <c r="A637" s="15"/>
      <c r="B637" s="37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</row>
    <row r="638" ht="15.75" customHeight="1">
      <c r="A638" s="15"/>
      <c r="B638" s="3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</row>
    <row r="639" ht="15.75" customHeight="1">
      <c r="A639" s="15"/>
      <c r="B639" s="37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</row>
    <row r="640" ht="15.75" customHeight="1">
      <c r="A640" s="15"/>
      <c r="B640" s="3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</row>
    <row r="641" ht="15.75" customHeight="1">
      <c r="A641" s="15"/>
      <c r="B641" s="37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</row>
    <row r="642" ht="15.75" customHeight="1">
      <c r="A642" s="15"/>
      <c r="B642" s="3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</row>
    <row r="643" ht="15.75" customHeight="1">
      <c r="A643" s="15"/>
      <c r="B643" s="37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</row>
    <row r="644" ht="15.75" customHeight="1">
      <c r="A644" s="15"/>
      <c r="B644" s="3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</row>
    <row r="645" ht="15.75" customHeight="1">
      <c r="A645" s="15"/>
      <c r="B645" s="37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</row>
    <row r="646" ht="15.75" customHeight="1">
      <c r="A646" s="15"/>
      <c r="B646" s="3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</row>
    <row r="647" ht="15.75" customHeight="1">
      <c r="A647" s="15"/>
      <c r="B647" s="37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</row>
    <row r="648" ht="15.75" customHeight="1">
      <c r="A648" s="15"/>
      <c r="B648" s="3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</row>
    <row r="649" ht="15.75" customHeight="1">
      <c r="A649" s="15"/>
      <c r="B649" s="37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</row>
    <row r="650" ht="15.75" customHeight="1">
      <c r="A650" s="15"/>
      <c r="B650" s="3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</row>
    <row r="651" ht="15.75" customHeight="1">
      <c r="A651" s="15"/>
      <c r="B651" s="37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</row>
    <row r="652" ht="15.75" customHeight="1">
      <c r="A652" s="15"/>
      <c r="B652" s="3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</row>
    <row r="653" ht="15.75" customHeight="1">
      <c r="A653" s="15"/>
      <c r="B653" s="37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</row>
    <row r="654" ht="15.75" customHeight="1">
      <c r="A654" s="15"/>
      <c r="B654" s="3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</row>
    <row r="655" ht="15.75" customHeight="1">
      <c r="A655" s="15"/>
      <c r="B655" s="37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</row>
    <row r="656" ht="15.75" customHeight="1">
      <c r="A656" s="15"/>
      <c r="B656" s="3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</row>
    <row r="657" ht="15.75" customHeight="1">
      <c r="A657" s="15"/>
      <c r="B657" s="37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</row>
    <row r="658" ht="15.75" customHeight="1">
      <c r="A658" s="15"/>
      <c r="B658" s="3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</row>
    <row r="659" ht="15.75" customHeight="1">
      <c r="A659" s="15"/>
      <c r="B659" s="37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</row>
    <row r="660" ht="15.75" customHeight="1">
      <c r="A660" s="15"/>
      <c r="B660" s="3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</row>
    <row r="661" ht="15.75" customHeight="1">
      <c r="A661" s="15"/>
      <c r="B661" s="37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</row>
    <row r="662" ht="15.75" customHeight="1">
      <c r="A662" s="15"/>
      <c r="B662" s="3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</row>
    <row r="663" ht="15.75" customHeight="1">
      <c r="A663" s="15"/>
      <c r="B663" s="37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</row>
    <row r="664" ht="15.75" customHeight="1">
      <c r="A664" s="15"/>
      <c r="B664" s="3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</row>
    <row r="665" ht="15.75" customHeight="1">
      <c r="A665" s="15"/>
      <c r="B665" s="37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</row>
    <row r="666" ht="15.75" customHeight="1">
      <c r="A666" s="15"/>
      <c r="B666" s="3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</row>
    <row r="667" ht="15.75" customHeight="1">
      <c r="A667" s="15"/>
      <c r="B667" s="37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</row>
    <row r="668" ht="15.75" customHeight="1">
      <c r="A668" s="15"/>
      <c r="B668" s="3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</row>
    <row r="669" ht="15.75" customHeight="1">
      <c r="A669" s="15"/>
      <c r="B669" s="37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</row>
    <row r="670" ht="15.75" customHeight="1">
      <c r="A670" s="15"/>
      <c r="B670" s="3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</row>
    <row r="671" ht="15.75" customHeight="1">
      <c r="A671" s="15"/>
      <c r="B671" s="37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</row>
    <row r="672" ht="15.75" customHeight="1">
      <c r="A672" s="15"/>
      <c r="B672" s="3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</row>
    <row r="673" ht="15.75" customHeight="1">
      <c r="A673" s="15"/>
      <c r="B673" s="37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</row>
    <row r="674" ht="15.75" customHeight="1">
      <c r="A674" s="15"/>
      <c r="B674" s="3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</row>
    <row r="675" ht="15.75" customHeight="1">
      <c r="A675" s="15"/>
      <c r="B675" s="37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</row>
    <row r="676" ht="15.75" customHeight="1">
      <c r="A676" s="15"/>
      <c r="B676" s="3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</row>
    <row r="677" ht="15.75" customHeight="1">
      <c r="A677" s="15"/>
      <c r="B677" s="37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</row>
    <row r="678" ht="15.75" customHeight="1">
      <c r="A678" s="15"/>
      <c r="B678" s="3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</row>
    <row r="679" ht="15.75" customHeight="1">
      <c r="A679" s="15"/>
      <c r="B679" s="37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</row>
    <row r="680" ht="15.75" customHeight="1">
      <c r="A680" s="15"/>
      <c r="B680" s="3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</row>
    <row r="681" ht="15.75" customHeight="1">
      <c r="A681" s="15"/>
      <c r="B681" s="37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</row>
    <row r="682" ht="15.75" customHeight="1">
      <c r="A682" s="15"/>
      <c r="B682" s="3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</row>
    <row r="683" ht="15.75" customHeight="1">
      <c r="A683" s="15"/>
      <c r="B683" s="37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</row>
    <row r="684" ht="15.75" customHeight="1">
      <c r="A684" s="15"/>
      <c r="B684" s="3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</row>
    <row r="685" ht="15.75" customHeight="1">
      <c r="A685" s="15"/>
      <c r="B685" s="37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</row>
    <row r="686" ht="15.75" customHeight="1">
      <c r="A686" s="15"/>
      <c r="B686" s="3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</row>
    <row r="687" ht="15.75" customHeight="1">
      <c r="A687" s="15"/>
      <c r="B687" s="37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</row>
    <row r="688" ht="15.75" customHeight="1">
      <c r="A688" s="15"/>
      <c r="B688" s="3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</row>
    <row r="689" ht="15.75" customHeight="1">
      <c r="A689" s="15"/>
      <c r="B689" s="37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</row>
    <row r="690" ht="15.75" customHeight="1">
      <c r="A690" s="15"/>
      <c r="B690" s="3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</row>
    <row r="691" ht="15.75" customHeight="1">
      <c r="A691" s="15"/>
      <c r="B691" s="37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</row>
    <row r="692" ht="15.75" customHeight="1">
      <c r="A692" s="15"/>
      <c r="B692" s="3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</row>
    <row r="693" ht="15.75" customHeight="1">
      <c r="A693" s="15"/>
      <c r="B693" s="37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</row>
    <row r="694" ht="15.75" customHeight="1">
      <c r="A694" s="15"/>
      <c r="B694" s="3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</row>
    <row r="695" ht="15.75" customHeight="1">
      <c r="A695" s="15"/>
      <c r="B695" s="37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</row>
    <row r="696" ht="15.75" customHeight="1">
      <c r="A696" s="15"/>
      <c r="B696" s="3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</row>
    <row r="697" ht="15.75" customHeight="1">
      <c r="A697" s="15"/>
      <c r="B697" s="37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</row>
    <row r="698" ht="15.75" customHeight="1">
      <c r="A698" s="15"/>
      <c r="B698" s="3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</row>
    <row r="699" ht="15.75" customHeight="1">
      <c r="A699" s="15"/>
      <c r="B699" s="37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</row>
    <row r="700" ht="15.75" customHeight="1">
      <c r="A700" s="15"/>
      <c r="B700" s="3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</row>
    <row r="701" ht="15.75" customHeight="1">
      <c r="A701" s="15"/>
      <c r="B701" s="37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</row>
    <row r="702" ht="15.75" customHeight="1">
      <c r="A702" s="15"/>
      <c r="B702" s="3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</row>
    <row r="703" ht="15.75" customHeight="1">
      <c r="A703" s="15"/>
      <c r="B703" s="37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</row>
    <row r="704" ht="15.75" customHeight="1">
      <c r="A704" s="15"/>
      <c r="B704" s="3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</row>
    <row r="705" ht="15.75" customHeight="1">
      <c r="A705" s="15"/>
      <c r="B705" s="37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</row>
    <row r="706" ht="15.75" customHeight="1">
      <c r="A706" s="15"/>
      <c r="B706" s="3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</row>
    <row r="707" ht="15.75" customHeight="1">
      <c r="A707" s="15"/>
      <c r="B707" s="37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</row>
    <row r="708" ht="15.75" customHeight="1">
      <c r="A708" s="15"/>
      <c r="B708" s="3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</row>
    <row r="709" ht="15.75" customHeight="1">
      <c r="A709" s="15"/>
      <c r="B709" s="37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</row>
    <row r="710" ht="15.75" customHeight="1">
      <c r="A710" s="15"/>
      <c r="B710" s="3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</row>
    <row r="711" ht="15.75" customHeight="1">
      <c r="A711" s="15"/>
      <c r="B711" s="37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</row>
    <row r="712" ht="15.75" customHeight="1">
      <c r="A712" s="15"/>
      <c r="B712" s="3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</row>
    <row r="713" ht="15.75" customHeight="1">
      <c r="A713" s="15"/>
      <c r="B713" s="37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</row>
    <row r="714" ht="15.75" customHeight="1">
      <c r="A714" s="15"/>
      <c r="B714" s="3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</row>
    <row r="715" ht="15.75" customHeight="1">
      <c r="A715" s="15"/>
      <c r="B715" s="37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</row>
    <row r="716" ht="15.75" customHeight="1">
      <c r="A716" s="15"/>
      <c r="B716" s="3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</row>
    <row r="717" ht="15.75" customHeight="1">
      <c r="A717" s="15"/>
      <c r="B717" s="37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</row>
    <row r="718" ht="15.75" customHeight="1">
      <c r="A718" s="15"/>
      <c r="B718" s="3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</row>
    <row r="719" ht="15.75" customHeight="1">
      <c r="A719" s="15"/>
      <c r="B719" s="37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</row>
    <row r="720" ht="15.75" customHeight="1">
      <c r="A720" s="15"/>
      <c r="B720" s="3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</row>
    <row r="721" ht="15.75" customHeight="1">
      <c r="A721" s="15"/>
      <c r="B721" s="37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</row>
    <row r="722" ht="15.75" customHeight="1">
      <c r="A722" s="15"/>
      <c r="B722" s="3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</row>
    <row r="723" ht="15.75" customHeight="1">
      <c r="A723" s="15"/>
      <c r="B723" s="37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</row>
    <row r="724" ht="15.75" customHeight="1">
      <c r="A724" s="15"/>
      <c r="B724" s="3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</row>
    <row r="725" ht="15.75" customHeight="1">
      <c r="A725" s="15"/>
      <c r="B725" s="37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</row>
    <row r="726" ht="15.75" customHeight="1">
      <c r="A726" s="15"/>
      <c r="B726" s="3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</row>
    <row r="727" ht="15.75" customHeight="1">
      <c r="A727" s="15"/>
      <c r="B727" s="37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</row>
    <row r="728" ht="15.75" customHeight="1">
      <c r="A728" s="15"/>
      <c r="B728" s="3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 ht="15.75" customHeight="1">
      <c r="A729" s="15"/>
      <c r="B729" s="37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</row>
    <row r="730" ht="15.75" customHeight="1">
      <c r="A730" s="15"/>
      <c r="B730" s="3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</row>
    <row r="731" ht="15.75" customHeight="1">
      <c r="A731" s="15"/>
      <c r="B731" s="37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</row>
    <row r="732" ht="15.75" customHeight="1">
      <c r="A732" s="15"/>
      <c r="B732" s="3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</row>
    <row r="733" ht="15.75" customHeight="1">
      <c r="A733" s="15"/>
      <c r="B733" s="37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</row>
    <row r="734" ht="15.75" customHeight="1">
      <c r="A734" s="15"/>
      <c r="B734" s="3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</row>
    <row r="735" ht="15.75" customHeight="1">
      <c r="A735" s="15"/>
      <c r="B735" s="37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</row>
    <row r="736" ht="15.75" customHeight="1">
      <c r="A736" s="15"/>
      <c r="B736" s="3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</row>
    <row r="737" ht="15.75" customHeight="1">
      <c r="A737" s="15"/>
      <c r="B737" s="37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</row>
    <row r="738" ht="15.75" customHeight="1">
      <c r="A738" s="15"/>
      <c r="B738" s="3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</row>
    <row r="739" ht="15.75" customHeight="1">
      <c r="A739" s="15"/>
      <c r="B739" s="37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</row>
    <row r="740" ht="15.75" customHeight="1">
      <c r="A740" s="15"/>
      <c r="B740" s="3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</row>
    <row r="741" ht="15.75" customHeight="1">
      <c r="A741" s="15"/>
      <c r="B741" s="37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</row>
    <row r="742" ht="15.75" customHeight="1">
      <c r="A742" s="15"/>
      <c r="B742" s="3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</row>
    <row r="743" ht="15.75" customHeight="1">
      <c r="A743" s="15"/>
      <c r="B743" s="37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</row>
    <row r="744" ht="15.75" customHeight="1">
      <c r="A744" s="15"/>
      <c r="B744" s="3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</row>
    <row r="745" ht="15.75" customHeight="1">
      <c r="A745" s="15"/>
      <c r="B745" s="37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</row>
    <row r="746" ht="15.75" customHeight="1">
      <c r="A746" s="15"/>
      <c r="B746" s="3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</row>
    <row r="747" ht="15.75" customHeight="1">
      <c r="A747" s="15"/>
      <c r="B747" s="37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</row>
    <row r="748" ht="15.75" customHeight="1">
      <c r="A748" s="15"/>
      <c r="B748" s="3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</row>
    <row r="749" ht="15.75" customHeight="1">
      <c r="A749" s="15"/>
      <c r="B749" s="37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</row>
    <row r="750" ht="15.75" customHeight="1">
      <c r="A750" s="15"/>
      <c r="B750" s="3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</row>
    <row r="751" ht="15.75" customHeight="1">
      <c r="A751" s="15"/>
      <c r="B751" s="37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</row>
    <row r="752" ht="15.75" customHeight="1">
      <c r="A752" s="15"/>
      <c r="B752" s="3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</row>
    <row r="753" ht="15.75" customHeight="1">
      <c r="A753" s="15"/>
      <c r="B753" s="37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</row>
    <row r="754" ht="15.75" customHeight="1">
      <c r="A754" s="15"/>
      <c r="B754" s="3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</row>
    <row r="755" ht="15.75" customHeight="1">
      <c r="A755" s="15"/>
      <c r="B755" s="37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</row>
    <row r="756" ht="15.75" customHeight="1">
      <c r="A756" s="15"/>
      <c r="B756" s="3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</row>
    <row r="757" ht="15.75" customHeight="1">
      <c r="A757" s="15"/>
      <c r="B757" s="37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</row>
    <row r="758" ht="15.75" customHeight="1">
      <c r="A758" s="15"/>
      <c r="B758" s="3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</row>
    <row r="759" ht="15.75" customHeight="1">
      <c r="A759" s="15"/>
      <c r="B759" s="37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</row>
    <row r="760" ht="15.75" customHeight="1">
      <c r="A760" s="15"/>
      <c r="B760" s="3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</row>
    <row r="761" ht="15.75" customHeight="1">
      <c r="A761" s="15"/>
      <c r="B761" s="37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</row>
    <row r="762" ht="15.75" customHeight="1">
      <c r="A762" s="15"/>
      <c r="B762" s="3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</row>
    <row r="763" ht="15.75" customHeight="1">
      <c r="A763" s="15"/>
      <c r="B763" s="37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</row>
    <row r="764" ht="15.75" customHeight="1">
      <c r="A764" s="15"/>
      <c r="B764" s="3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</row>
    <row r="765" ht="15.75" customHeight="1">
      <c r="A765" s="15"/>
      <c r="B765" s="37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</row>
    <row r="766" ht="15.75" customHeight="1">
      <c r="A766" s="15"/>
      <c r="B766" s="3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</row>
    <row r="767" ht="15.75" customHeight="1">
      <c r="A767" s="15"/>
      <c r="B767" s="37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</row>
    <row r="768" ht="15.75" customHeight="1">
      <c r="A768" s="15"/>
      <c r="B768" s="3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</row>
    <row r="769" ht="15.75" customHeight="1">
      <c r="A769" s="15"/>
      <c r="B769" s="37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</row>
    <row r="770" ht="15.75" customHeight="1">
      <c r="A770" s="15"/>
      <c r="B770" s="3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</row>
    <row r="771" ht="15.75" customHeight="1">
      <c r="A771" s="15"/>
      <c r="B771" s="37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</row>
    <row r="772" ht="15.75" customHeight="1">
      <c r="A772" s="15"/>
      <c r="B772" s="3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</row>
    <row r="773" ht="15.75" customHeight="1">
      <c r="A773" s="15"/>
      <c r="B773" s="37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</row>
    <row r="774" ht="15.75" customHeight="1">
      <c r="A774" s="15"/>
      <c r="B774" s="3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</row>
    <row r="775" ht="15.75" customHeight="1">
      <c r="A775" s="15"/>
      <c r="B775" s="37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</row>
    <row r="776" ht="15.75" customHeight="1">
      <c r="A776" s="15"/>
      <c r="B776" s="3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</row>
    <row r="777" ht="15.75" customHeight="1">
      <c r="A777" s="15"/>
      <c r="B777" s="37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</row>
    <row r="778" ht="15.75" customHeight="1">
      <c r="A778" s="15"/>
      <c r="B778" s="3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</row>
    <row r="779" ht="15.75" customHeight="1">
      <c r="A779" s="15"/>
      <c r="B779" s="37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</row>
    <row r="780" ht="15.75" customHeight="1">
      <c r="A780" s="15"/>
      <c r="B780" s="3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</row>
    <row r="781" ht="15.75" customHeight="1">
      <c r="A781" s="15"/>
      <c r="B781" s="37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</row>
    <row r="782" ht="15.75" customHeight="1">
      <c r="A782" s="15"/>
      <c r="B782" s="3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</row>
    <row r="783" ht="15.75" customHeight="1">
      <c r="A783" s="15"/>
      <c r="B783" s="37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</row>
    <row r="784" ht="15.75" customHeight="1">
      <c r="A784" s="15"/>
      <c r="B784" s="3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</row>
    <row r="785" ht="15.75" customHeight="1">
      <c r="A785" s="15"/>
      <c r="B785" s="37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</row>
    <row r="786" ht="15.75" customHeight="1">
      <c r="A786" s="15"/>
      <c r="B786" s="3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</row>
    <row r="787" ht="15.75" customHeight="1">
      <c r="A787" s="15"/>
      <c r="B787" s="37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</row>
    <row r="788" ht="15.75" customHeight="1">
      <c r="A788" s="15"/>
      <c r="B788" s="3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</row>
    <row r="789" ht="15.75" customHeight="1">
      <c r="A789" s="15"/>
      <c r="B789" s="37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</row>
    <row r="790" ht="15.75" customHeight="1">
      <c r="A790" s="15"/>
      <c r="B790" s="3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</row>
    <row r="791" ht="15.75" customHeight="1">
      <c r="A791" s="15"/>
      <c r="B791" s="37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</row>
    <row r="792" ht="15.75" customHeight="1">
      <c r="A792" s="15"/>
      <c r="B792" s="3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</row>
    <row r="793" ht="15.75" customHeight="1">
      <c r="A793" s="15"/>
      <c r="B793" s="37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</row>
    <row r="794" ht="15.75" customHeight="1">
      <c r="A794" s="15"/>
      <c r="B794" s="3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 ht="15.75" customHeight="1">
      <c r="A795" s="15"/>
      <c r="B795" s="37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</row>
    <row r="796" ht="15.75" customHeight="1">
      <c r="A796" s="15"/>
      <c r="B796" s="3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</row>
    <row r="797" ht="15.75" customHeight="1">
      <c r="A797" s="15"/>
      <c r="B797" s="37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</row>
    <row r="798" ht="15.75" customHeight="1">
      <c r="A798" s="15"/>
      <c r="B798" s="3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</row>
    <row r="799" ht="15.75" customHeight="1">
      <c r="A799" s="15"/>
      <c r="B799" s="37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</row>
    <row r="800" ht="15.75" customHeight="1">
      <c r="A800" s="15"/>
      <c r="B800" s="3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</row>
    <row r="801" ht="15.75" customHeight="1">
      <c r="A801" s="15"/>
      <c r="B801" s="37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</row>
    <row r="802" ht="15.75" customHeight="1">
      <c r="A802" s="15"/>
      <c r="B802" s="3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</row>
    <row r="803" ht="15.75" customHeight="1">
      <c r="A803" s="15"/>
      <c r="B803" s="37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</row>
    <row r="804" ht="15.75" customHeight="1">
      <c r="A804" s="15"/>
      <c r="B804" s="3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</row>
    <row r="805" ht="15.75" customHeight="1">
      <c r="A805" s="15"/>
      <c r="B805" s="37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</row>
    <row r="806" ht="15.75" customHeight="1">
      <c r="A806" s="15"/>
      <c r="B806" s="3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</row>
    <row r="807" ht="15.75" customHeight="1">
      <c r="A807" s="15"/>
      <c r="B807" s="37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</row>
    <row r="808" ht="15.75" customHeight="1">
      <c r="A808" s="15"/>
      <c r="B808" s="3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</row>
    <row r="809" ht="15.75" customHeight="1">
      <c r="A809" s="15"/>
      <c r="B809" s="37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</row>
    <row r="810" ht="15.75" customHeight="1">
      <c r="A810" s="15"/>
      <c r="B810" s="3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</row>
    <row r="811" ht="15.75" customHeight="1">
      <c r="A811" s="15"/>
      <c r="B811" s="37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</row>
    <row r="812" ht="15.75" customHeight="1">
      <c r="A812" s="15"/>
      <c r="B812" s="3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</row>
    <row r="813" ht="15.75" customHeight="1">
      <c r="A813" s="15"/>
      <c r="B813" s="37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</row>
    <row r="814" ht="15.75" customHeight="1">
      <c r="A814" s="15"/>
      <c r="B814" s="3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</row>
    <row r="815" ht="15.75" customHeight="1">
      <c r="A815" s="15"/>
      <c r="B815" s="37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</row>
    <row r="816" ht="15.75" customHeight="1">
      <c r="A816" s="15"/>
      <c r="B816" s="3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</row>
    <row r="817" ht="15.75" customHeight="1">
      <c r="A817" s="15"/>
      <c r="B817" s="37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</row>
    <row r="818" ht="15.75" customHeight="1">
      <c r="A818" s="15"/>
      <c r="B818" s="3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</row>
    <row r="819" ht="15.75" customHeight="1">
      <c r="A819" s="15"/>
      <c r="B819" s="37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</row>
    <row r="820" ht="15.75" customHeight="1">
      <c r="A820" s="15"/>
      <c r="B820" s="3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</row>
    <row r="821" ht="15.75" customHeight="1">
      <c r="A821" s="15"/>
      <c r="B821" s="37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</row>
    <row r="822" ht="15.75" customHeight="1">
      <c r="A822" s="15"/>
      <c r="B822" s="3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</row>
    <row r="823" ht="15.75" customHeight="1">
      <c r="A823" s="15"/>
      <c r="B823" s="37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</row>
    <row r="824" ht="15.75" customHeight="1">
      <c r="A824" s="15"/>
      <c r="B824" s="3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</row>
    <row r="825" ht="15.75" customHeight="1">
      <c r="A825" s="15"/>
      <c r="B825" s="37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</row>
    <row r="826" ht="15.75" customHeight="1">
      <c r="A826" s="15"/>
      <c r="B826" s="3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</row>
    <row r="827" ht="15.75" customHeight="1">
      <c r="A827" s="15"/>
      <c r="B827" s="37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</row>
    <row r="828" ht="15.75" customHeight="1">
      <c r="A828" s="15"/>
      <c r="B828" s="3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</row>
    <row r="829" ht="15.75" customHeight="1">
      <c r="A829" s="15"/>
      <c r="B829" s="37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</row>
    <row r="830" ht="15.75" customHeight="1">
      <c r="A830" s="15"/>
      <c r="B830" s="3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</row>
    <row r="831" ht="15.75" customHeight="1">
      <c r="A831" s="15"/>
      <c r="B831" s="37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</row>
    <row r="832" ht="15.75" customHeight="1">
      <c r="A832" s="15"/>
      <c r="B832" s="3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</row>
    <row r="833" ht="15.75" customHeight="1">
      <c r="A833" s="15"/>
      <c r="B833" s="37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</row>
    <row r="834" ht="15.75" customHeight="1">
      <c r="A834" s="15"/>
      <c r="B834" s="3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</row>
    <row r="835" ht="15.75" customHeight="1">
      <c r="A835" s="15"/>
      <c r="B835" s="37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</row>
    <row r="836" ht="15.75" customHeight="1">
      <c r="A836" s="15"/>
      <c r="B836" s="3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</row>
    <row r="837" ht="15.75" customHeight="1">
      <c r="A837" s="15"/>
      <c r="B837" s="37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</row>
    <row r="838" ht="15.75" customHeight="1">
      <c r="A838" s="15"/>
      <c r="B838" s="3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</row>
    <row r="839" ht="15.75" customHeight="1">
      <c r="A839" s="15"/>
      <c r="B839" s="37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</row>
    <row r="840" ht="15.75" customHeight="1">
      <c r="A840" s="15"/>
      <c r="B840" s="3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</row>
    <row r="841" ht="15.75" customHeight="1">
      <c r="A841" s="15"/>
      <c r="B841" s="37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</row>
    <row r="842" ht="15.75" customHeight="1">
      <c r="A842" s="15"/>
      <c r="B842" s="3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</row>
    <row r="843" ht="15.75" customHeight="1">
      <c r="A843" s="15"/>
      <c r="B843" s="37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</row>
    <row r="844" ht="15.75" customHeight="1">
      <c r="A844" s="15"/>
      <c r="B844" s="3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</row>
    <row r="845" ht="15.75" customHeight="1">
      <c r="A845" s="15"/>
      <c r="B845" s="37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</row>
    <row r="846" ht="15.75" customHeight="1">
      <c r="A846" s="15"/>
      <c r="B846" s="3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</row>
    <row r="847" ht="15.75" customHeight="1">
      <c r="A847" s="15"/>
      <c r="B847" s="37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</row>
    <row r="848" ht="15.75" customHeight="1">
      <c r="A848" s="15"/>
      <c r="B848" s="3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</row>
    <row r="849" ht="15.75" customHeight="1">
      <c r="A849" s="15"/>
      <c r="B849" s="37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</row>
    <row r="850" ht="15.75" customHeight="1">
      <c r="A850" s="15"/>
      <c r="B850" s="3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</row>
    <row r="851" ht="15.75" customHeight="1">
      <c r="A851" s="15"/>
      <c r="B851" s="37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</row>
    <row r="852" ht="15.75" customHeight="1">
      <c r="A852" s="15"/>
      <c r="B852" s="3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</row>
    <row r="853" ht="15.75" customHeight="1">
      <c r="A853" s="15"/>
      <c r="B853" s="37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</row>
    <row r="854" ht="15.75" customHeight="1">
      <c r="A854" s="15"/>
      <c r="B854" s="3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</row>
    <row r="855" ht="15.75" customHeight="1">
      <c r="A855" s="15"/>
      <c r="B855" s="37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</row>
    <row r="856" ht="15.75" customHeight="1">
      <c r="A856" s="15"/>
      <c r="B856" s="3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</row>
    <row r="857" ht="15.75" customHeight="1">
      <c r="A857" s="15"/>
      <c r="B857" s="37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</row>
    <row r="858" ht="15.75" customHeight="1">
      <c r="A858" s="15"/>
      <c r="B858" s="3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</row>
    <row r="859" ht="15.75" customHeight="1">
      <c r="A859" s="15"/>
      <c r="B859" s="37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</row>
    <row r="860" ht="15.75" customHeight="1">
      <c r="A860" s="15"/>
      <c r="B860" s="3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 ht="15.75" customHeight="1">
      <c r="A861" s="15"/>
      <c r="B861" s="37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</row>
    <row r="862" ht="15.75" customHeight="1">
      <c r="A862" s="15"/>
      <c r="B862" s="3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</row>
    <row r="863" ht="15.75" customHeight="1">
      <c r="A863" s="15"/>
      <c r="B863" s="37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</row>
    <row r="864" ht="15.75" customHeight="1">
      <c r="A864" s="15"/>
      <c r="B864" s="3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</row>
    <row r="865" ht="15.75" customHeight="1">
      <c r="A865" s="15"/>
      <c r="B865" s="37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</row>
    <row r="866" ht="15.75" customHeight="1">
      <c r="A866" s="15"/>
      <c r="B866" s="3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</row>
    <row r="867" ht="15.75" customHeight="1">
      <c r="A867" s="15"/>
      <c r="B867" s="37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</row>
    <row r="868" ht="15.75" customHeight="1">
      <c r="A868" s="15"/>
      <c r="B868" s="3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</row>
    <row r="869" ht="15.75" customHeight="1">
      <c r="A869" s="15"/>
      <c r="B869" s="37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</row>
    <row r="870" ht="15.75" customHeight="1">
      <c r="A870" s="15"/>
      <c r="B870" s="3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</row>
    <row r="871" ht="15.75" customHeight="1">
      <c r="A871" s="15"/>
      <c r="B871" s="37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</row>
    <row r="872" ht="15.75" customHeight="1">
      <c r="A872" s="15"/>
      <c r="B872" s="3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</row>
    <row r="873" ht="15.75" customHeight="1">
      <c r="A873" s="15"/>
      <c r="B873" s="37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</row>
    <row r="874" ht="15.75" customHeight="1">
      <c r="A874" s="15"/>
      <c r="B874" s="3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</row>
    <row r="875" ht="15.75" customHeight="1">
      <c r="A875" s="15"/>
      <c r="B875" s="37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</row>
    <row r="876" ht="15.75" customHeight="1">
      <c r="A876" s="15"/>
      <c r="B876" s="3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</row>
    <row r="877" ht="15.75" customHeight="1">
      <c r="A877" s="15"/>
      <c r="B877" s="37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</row>
    <row r="878" ht="15.75" customHeight="1">
      <c r="A878" s="15"/>
      <c r="B878" s="3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</row>
    <row r="879" ht="15.75" customHeight="1">
      <c r="A879" s="15"/>
      <c r="B879" s="37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</row>
    <row r="880" ht="15.75" customHeight="1">
      <c r="A880" s="15"/>
      <c r="B880" s="3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</row>
    <row r="881" ht="15.75" customHeight="1">
      <c r="A881" s="15"/>
      <c r="B881" s="37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</row>
    <row r="882" ht="15.75" customHeight="1">
      <c r="A882" s="15"/>
      <c r="B882" s="3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</row>
    <row r="883" ht="15.75" customHeight="1">
      <c r="A883" s="15"/>
      <c r="B883" s="37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</row>
    <row r="884" ht="15.75" customHeight="1">
      <c r="A884" s="15"/>
      <c r="B884" s="3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</row>
    <row r="885" ht="15.75" customHeight="1">
      <c r="A885" s="15"/>
      <c r="B885" s="37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</row>
    <row r="886" ht="15.75" customHeight="1">
      <c r="A886" s="15"/>
      <c r="B886" s="3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</row>
    <row r="887" ht="15.75" customHeight="1">
      <c r="A887" s="15"/>
      <c r="B887" s="37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</row>
    <row r="888" ht="15.75" customHeight="1">
      <c r="A888" s="15"/>
      <c r="B888" s="3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</row>
    <row r="889" ht="15.75" customHeight="1">
      <c r="A889" s="15"/>
      <c r="B889" s="37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</row>
    <row r="890" ht="15.75" customHeight="1">
      <c r="A890" s="15"/>
      <c r="B890" s="3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</row>
    <row r="891" ht="15.75" customHeight="1">
      <c r="A891" s="15"/>
      <c r="B891" s="37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</row>
    <row r="892" ht="15.75" customHeight="1">
      <c r="A892" s="15"/>
      <c r="B892" s="3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</row>
    <row r="893" ht="15.75" customHeight="1">
      <c r="A893" s="15"/>
      <c r="B893" s="37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</row>
    <row r="894" ht="15.75" customHeight="1">
      <c r="A894" s="15"/>
      <c r="B894" s="3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</row>
    <row r="895" ht="15.75" customHeight="1">
      <c r="A895" s="15"/>
      <c r="B895" s="37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</row>
    <row r="896" ht="15.75" customHeight="1">
      <c r="A896" s="15"/>
      <c r="B896" s="3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</row>
    <row r="897" ht="15.75" customHeight="1">
      <c r="A897" s="15"/>
      <c r="B897" s="37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</row>
    <row r="898" ht="15.75" customHeight="1">
      <c r="A898" s="15"/>
      <c r="B898" s="3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</row>
    <row r="899" ht="15.75" customHeight="1">
      <c r="A899" s="15"/>
      <c r="B899" s="37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</row>
    <row r="900" ht="15.75" customHeight="1">
      <c r="A900" s="15"/>
      <c r="B900" s="3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</row>
    <row r="901" ht="15.75" customHeight="1">
      <c r="A901" s="15"/>
      <c r="B901" s="37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</row>
    <row r="902" ht="15.75" customHeight="1">
      <c r="A902" s="15"/>
      <c r="B902" s="3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</row>
    <row r="903" ht="15.75" customHeight="1">
      <c r="A903" s="15"/>
      <c r="B903" s="37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</row>
    <row r="904" ht="15.75" customHeight="1">
      <c r="A904" s="15"/>
      <c r="B904" s="3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</row>
    <row r="905" ht="15.75" customHeight="1">
      <c r="A905" s="15"/>
      <c r="B905" s="37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</row>
    <row r="906" ht="15.75" customHeight="1">
      <c r="A906" s="15"/>
      <c r="B906" s="3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</row>
    <row r="907" ht="15.75" customHeight="1">
      <c r="A907" s="15"/>
      <c r="B907" s="37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</row>
    <row r="908" ht="15.75" customHeight="1">
      <c r="A908" s="15"/>
      <c r="B908" s="3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</row>
    <row r="909" ht="15.75" customHeight="1">
      <c r="A909" s="15"/>
      <c r="B909" s="37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</row>
    <row r="910" ht="15.75" customHeight="1">
      <c r="A910" s="15"/>
      <c r="B910" s="3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</row>
    <row r="911" ht="15.75" customHeight="1">
      <c r="A911" s="15"/>
      <c r="B911" s="37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</row>
    <row r="912" ht="15.75" customHeight="1">
      <c r="A912" s="15"/>
      <c r="B912" s="3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</row>
    <row r="913" ht="15.75" customHeight="1">
      <c r="A913" s="15"/>
      <c r="B913" s="37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</row>
    <row r="914" ht="15.75" customHeight="1">
      <c r="A914" s="15"/>
      <c r="B914" s="3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</row>
    <row r="915" ht="15.75" customHeight="1">
      <c r="A915" s="15"/>
      <c r="B915" s="37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</row>
    <row r="916" ht="15.75" customHeight="1">
      <c r="A916" s="15"/>
      <c r="B916" s="3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</row>
    <row r="917" ht="15.75" customHeight="1">
      <c r="A917" s="15"/>
      <c r="B917" s="37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</row>
    <row r="918" ht="15.75" customHeight="1">
      <c r="A918" s="15"/>
      <c r="B918" s="3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</row>
    <row r="919" ht="15.75" customHeight="1">
      <c r="A919" s="15"/>
      <c r="B919" s="37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</row>
    <row r="920" ht="15.75" customHeight="1">
      <c r="A920" s="15"/>
      <c r="B920" s="3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</row>
    <row r="921" ht="15.75" customHeight="1">
      <c r="A921" s="15"/>
      <c r="B921" s="37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</row>
    <row r="922" ht="15.75" customHeight="1">
      <c r="A922" s="15"/>
      <c r="B922" s="3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</row>
    <row r="923" ht="15.75" customHeight="1">
      <c r="A923" s="15"/>
      <c r="B923" s="37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</row>
    <row r="924" ht="15.75" customHeight="1">
      <c r="A924" s="15"/>
      <c r="B924" s="3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</row>
    <row r="925" ht="15.75" customHeight="1">
      <c r="A925" s="15"/>
      <c r="B925" s="37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</row>
    <row r="926" ht="15.75" customHeight="1">
      <c r="A926" s="15"/>
      <c r="B926" s="3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 ht="15.75" customHeight="1">
      <c r="A927" s="15"/>
      <c r="B927" s="37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</row>
    <row r="928" ht="15.75" customHeight="1">
      <c r="A928" s="15"/>
      <c r="B928" s="3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</row>
    <row r="929" ht="15.75" customHeight="1">
      <c r="A929" s="15"/>
      <c r="B929" s="37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</row>
    <row r="930" ht="15.75" customHeight="1">
      <c r="A930" s="15"/>
      <c r="B930" s="3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</row>
    <row r="931" ht="15.75" customHeight="1">
      <c r="A931" s="15"/>
      <c r="B931" s="37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</row>
    <row r="932" ht="15.75" customHeight="1">
      <c r="A932" s="15"/>
      <c r="B932" s="3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</row>
    <row r="933" ht="15.75" customHeight="1">
      <c r="A933" s="15"/>
      <c r="B933" s="37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</row>
    <row r="934" ht="15.75" customHeight="1">
      <c r="A934" s="15"/>
      <c r="B934" s="3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</row>
    <row r="935" ht="15.75" customHeight="1">
      <c r="A935" s="15"/>
      <c r="B935" s="37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</row>
    <row r="936" ht="15.75" customHeight="1">
      <c r="A936" s="15"/>
      <c r="B936" s="3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</row>
    <row r="937" ht="15.75" customHeight="1">
      <c r="A937" s="15"/>
      <c r="B937" s="37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</row>
    <row r="938" ht="15.75" customHeight="1">
      <c r="A938" s="15"/>
      <c r="B938" s="3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</row>
    <row r="939" ht="15.75" customHeight="1">
      <c r="A939" s="15"/>
      <c r="B939" s="37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</row>
    <row r="940" ht="15.75" customHeight="1">
      <c r="A940" s="15"/>
      <c r="B940" s="3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</row>
    <row r="941" ht="15.75" customHeight="1">
      <c r="A941" s="15"/>
      <c r="B941" s="37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</row>
    <row r="942" ht="15.75" customHeight="1">
      <c r="A942" s="15"/>
      <c r="B942" s="3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</row>
    <row r="943" ht="15.75" customHeight="1">
      <c r="A943" s="15"/>
      <c r="B943" s="37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</row>
    <row r="944" ht="15.75" customHeight="1">
      <c r="A944" s="15"/>
      <c r="B944" s="3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</row>
    <row r="945" ht="15.75" customHeight="1">
      <c r="A945" s="15"/>
      <c r="B945" s="37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</row>
    <row r="946" ht="15.75" customHeight="1">
      <c r="A946" s="15"/>
      <c r="B946" s="3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</row>
    <row r="947" ht="15.75" customHeight="1">
      <c r="A947" s="15"/>
      <c r="B947" s="37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</row>
    <row r="948" ht="15.75" customHeight="1">
      <c r="A948" s="15"/>
      <c r="B948" s="3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</row>
    <row r="949" ht="15.75" customHeight="1">
      <c r="A949" s="15"/>
      <c r="B949" s="37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</row>
    <row r="950" ht="15.75" customHeight="1">
      <c r="A950" s="15"/>
      <c r="B950" s="3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</row>
    <row r="951" ht="15.75" customHeight="1">
      <c r="A951" s="15"/>
      <c r="B951" s="37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</row>
    <row r="952" ht="15.75" customHeight="1">
      <c r="A952" s="15"/>
      <c r="B952" s="3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</row>
    <row r="953" ht="15.75" customHeight="1">
      <c r="A953" s="15"/>
      <c r="B953" s="37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</row>
    <row r="954" ht="15.75" customHeight="1">
      <c r="A954" s="15"/>
      <c r="B954" s="3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</row>
    <row r="955" ht="15.75" customHeight="1">
      <c r="A955" s="15"/>
      <c r="B955" s="37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</row>
    <row r="956" ht="15.75" customHeight="1">
      <c r="A956" s="15"/>
      <c r="B956" s="3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</row>
    <row r="957" ht="15.75" customHeight="1">
      <c r="A957" s="15"/>
      <c r="B957" s="37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</row>
    <row r="958" ht="15.75" customHeight="1">
      <c r="A958" s="15"/>
      <c r="B958" s="3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</row>
    <row r="959" ht="15.75" customHeight="1">
      <c r="A959" s="15"/>
      <c r="B959" s="37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</row>
    <row r="960" ht="15.75" customHeight="1">
      <c r="A960" s="15"/>
      <c r="B960" s="3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</row>
    <row r="961" ht="15.75" customHeight="1">
      <c r="A961" s="15"/>
      <c r="B961" s="37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</row>
    <row r="962" ht="15.75" customHeight="1">
      <c r="A962" s="15"/>
      <c r="B962" s="3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</row>
    <row r="963" ht="15.75" customHeight="1">
      <c r="A963" s="15"/>
      <c r="B963" s="37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</row>
    <row r="964" ht="15.75" customHeight="1">
      <c r="A964" s="15"/>
      <c r="B964" s="3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</row>
    <row r="965" ht="15.75" customHeight="1">
      <c r="A965" s="15"/>
      <c r="B965" s="37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</row>
    <row r="966" ht="15.75" customHeight="1">
      <c r="A966" s="15"/>
      <c r="B966" s="3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</row>
    <row r="967" ht="15.75" customHeight="1">
      <c r="A967" s="15"/>
      <c r="B967" s="37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</row>
    <row r="968" ht="15.75" customHeight="1">
      <c r="A968" s="15"/>
      <c r="B968" s="3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</row>
    <row r="969" ht="15.75" customHeight="1">
      <c r="A969" s="15"/>
      <c r="B969" s="37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</row>
    <row r="970" ht="15.75" customHeight="1">
      <c r="A970" s="15"/>
      <c r="B970" s="3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</row>
    <row r="971" ht="15.75" customHeight="1">
      <c r="A971" s="15"/>
      <c r="B971" s="37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</row>
    <row r="972" ht="15.75" customHeight="1">
      <c r="A972" s="15"/>
      <c r="B972" s="3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</row>
    <row r="973" ht="15.75" customHeight="1">
      <c r="A973" s="15"/>
      <c r="B973" s="37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</row>
    <row r="974" ht="15.75" customHeight="1">
      <c r="A974" s="15"/>
      <c r="B974" s="3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</row>
    <row r="975" ht="15.75" customHeight="1">
      <c r="A975" s="15"/>
      <c r="B975" s="37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</row>
    <row r="976" ht="15.75" customHeight="1">
      <c r="A976" s="15"/>
      <c r="B976" s="3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</row>
    <row r="977" ht="15.75" customHeight="1">
      <c r="A977" s="15"/>
      <c r="B977" s="37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</row>
    <row r="978" ht="15.75" customHeight="1">
      <c r="A978" s="15"/>
      <c r="B978" s="3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</row>
    <row r="979" ht="15.75" customHeight="1">
      <c r="A979" s="15"/>
      <c r="B979" s="37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</row>
    <row r="980" ht="15.75" customHeight="1">
      <c r="A980" s="15"/>
      <c r="B980" s="3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</row>
    <row r="981" ht="15.75" customHeight="1">
      <c r="A981" s="15"/>
      <c r="B981" s="37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</row>
    <row r="982" ht="15.75" customHeight="1">
      <c r="A982" s="15"/>
      <c r="B982" s="3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</row>
    <row r="983" ht="15.75" customHeight="1">
      <c r="A983" s="15"/>
      <c r="B983" s="37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</row>
    <row r="984" ht="15.75" customHeight="1">
      <c r="A984" s="15"/>
      <c r="B984" s="3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</row>
    <row r="985" ht="15.75" customHeight="1">
      <c r="A985" s="15"/>
      <c r="B985" s="37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</row>
    <row r="986" ht="15.75" customHeight="1">
      <c r="A986" s="15"/>
      <c r="B986" s="3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</row>
    <row r="987" ht="15.75" customHeight="1">
      <c r="A987" s="15"/>
      <c r="B987" s="37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</row>
    <row r="988" ht="15.75" customHeight="1">
      <c r="A988" s="15"/>
      <c r="B988" s="3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</row>
    <row r="989" ht="15.75" customHeight="1">
      <c r="A989" s="15"/>
      <c r="B989" s="37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</row>
    <row r="990" ht="15.75" customHeight="1">
      <c r="A990" s="15"/>
      <c r="B990" s="3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</row>
    <row r="991" ht="15.75" customHeight="1">
      <c r="A991" s="15"/>
      <c r="B991" s="37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</row>
    <row r="992" ht="15.75" customHeight="1">
      <c r="A992" s="15"/>
      <c r="B992" s="3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</row>
    <row r="993" ht="15.75" customHeight="1">
      <c r="A993" s="15"/>
      <c r="B993" s="37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</row>
    <row r="994" ht="15.75" customHeight="1">
      <c r="A994" s="15"/>
      <c r="B994" s="3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</row>
    <row r="995" ht="15.75" customHeight="1">
      <c r="A995" s="15"/>
      <c r="B995" s="37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</row>
    <row r="996" ht="15.75" customHeight="1">
      <c r="A996" s="15"/>
      <c r="B996" s="3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</row>
    <row r="997" ht="15.75" customHeight="1">
      <c r="A997" s="15"/>
      <c r="B997" s="37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</row>
    <row r="998" ht="15.75" customHeight="1">
      <c r="A998" s="15"/>
      <c r="B998" s="3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</row>
    <row r="999" ht="15.75" customHeight="1">
      <c r="A999" s="15"/>
      <c r="B999" s="37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</row>
    <row r="1000" ht="15.75" customHeight="1">
      <c r="A1000" s="15"/>
      <c r="B1000" s="3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</row>
  </sheetData>
  <autoFilter ref="$A$3:$M$3"/>
  <mergeCells count="2">
    <mergeCell ref="A1:M1"/>
    <mergeCell ref="A2:M2"/>
  </mergeCells>
  <dataValidations>
    <dataValidation type="list" allowBlank="1" showErrorMessage="1" sqref="N4:N214">
      <formula1>"Done"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2026-04-20T10:32:33Z</dcterms:created>
  <dc:creator>RONE CSE</dc:creator>
</cp:coreProperties>
</file>